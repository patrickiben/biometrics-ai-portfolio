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ffort Ledger" sheetId="2" state="visible" r:id="rId4"/>
    <sheet name="Find Hours" sheetId="3" state="visible" r:id="rId5"/>
    <sheet name="Change Order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<sst xmlns="http://schemas.openxmlformats.org/spreadsheetml/2006/main" count="80" uniqueCount="80">
  <si>
    <t xml:space="preserve">Hours Budget Reconciliation — Finding Hours for Out-of-Scope Work</t>
  </si>
  <si>
    <t xml:space="preserve">What this is</t>
  </si>
  <si>
    <t xml:space="preserve">When an out-of-scope deliverable suddenly needs doing, this workbook tells you where the hours come from. You enter your project's planned / actual / forecast effort in HOURS; it computes the net headroom and, for a new ask, whether it is absorbable internally or needs a change order. Hours/effort only — no dollars, rates, or headcount.</t>
  </si>
  <si>
    <t xml:space="preserve">How to use it — step by step</t>
  </si>
  <si>
    <t xml:space="preserve">1</t>
  </si>
  <si>
    <t xml:space="preserve">On the 'Effort Ledger' sheet, list your deliverables (replace the example rows). PLANNED hours come from the budget / SOW / contract. Enter them in the blue cells.</t>
  </si>
  <si>
    <t xml:space="preserve">2</t>
  </si>
  <si>
    <t xml:space="preserve">Enter ACTUAL hours to date (from timesheets / time tracking) and % complete for each deliverable.</t>
  </si>
  <si>
    <t xml:space="preserve">3</t>
  </si>
  <si>
    <t xml:space="preserve">Enter EAC — Estimate At Completion: what each deliverable will REALLY take in total (actual so far + your honest estimate of remaining). If it's tracking to plan, EAC = Planned; if over-running, EAC &gt; Planned; if under, EAC &lt; Planned.</t>
  </si>
  <si>
    <t xml:space="preserve">4</t>
  </si>
  <si>
    <t xml:space="preserve">Set the CONTINGENCY (management reserve) hours. NET FINDABLE = (total Planned + Contingency) − total EAC computes automatically — that is your honest headroom, netting every under-run against every over-run.</t>
  </si>
  <si>
    <t xml:space="preserve">5</t>
  </si>
  <si>
    <t xml:space="preserve">Go to the 'Find Hours' sheet. Enter the new out-of-scope ask's estimated hours in the blue cell. It tells you the shortfall (if any) and the verdict: absorbable internally, or a change order for the excess.</t>
  </si>
  <si>
    <t xml:space="preserve">6</t>
  </si>
  <si>
    <t xml:space="preserve">Record the decision: which under-running tasks you reallocated from, how much contingency you drew, and any change order (use the 'Change Order' sheet). Never absorb silently by over-running a task.</t>
  </si>
  <si>
    <t xml:space="preserve">The decision tree</t>
  </si>
  <si>
    <t xml:space="preserve">1 · Reallocate under-run slack</t>
  </si>
  <si>
    <t xml:space="preserve">Move budget from deliverables forecasting under plan (EAC &lt; Planned). Safest — it's already yours.</t>
  </si>
  <si>
    <t xml:space="preserve">2 · Draw contingency</t>
  </si>
  <si>
    <t xml:space="preserve">The management reserve exists for this. Drawing it is a decision to record, not a silent move.</t>
  </si>
  <si>
    <t xml:space="preserve">3 · Defer / re-sequence</t>
  </si>
  <si>
    <t xml:space="preserve">Free hours by moving lower-priority in-scope work later, with the PM's agreement on new dates.</t>
  </si>
  <si>
    <t xml:space="preserve">4 · Change order</t>
  </si>
  <si>
    <t xml:space="preserve">If a shortfall remains, the work is genuine added scope — raise a change order rather than a silent over-run.</t>
  </si>
  <si>
    <t xml:space="preserve">Colour key</t>
  </si>
  <si>
    <t xml:space="preserve">Blue cells</t>
  </si>
  <si>
    <t xml:space="preserve">You enter these (hours, % complete, the new ask, contingency).</t>
  </si>
  <si>
    <t xml:space="preserve">Green text</t>
  </si>
  <si>
    <t xml:space="preserve">Values pulled from another sheet.</t>
  </si>
  <si>
    <t xml:space="preserve">Black text</t>
  </si>
  <si>
    <t xml:space="preserve">Formulas — do not overwrite.</t>
  </si>
  <si>
    <t xml:space="preserve">Effort Ledger (hours) — replace the example rows with your deliverables</t>
  </si>
  <si>
    <t xml:space="preserve">Deliverable</t>
  </si>
  <si>
    <t xml:space="preserve">Planned Hours</t>
  </si>
  <si>
    <t xml:space="preserve">Actual to Date</t>
  </si>
  <si>
    <t xml:space="preserve">% Complete</t>
  </si>
  <si>
    <t xml:space="preserve">EAC (est. at completion)</t>
  </si>
  <si>
    <t xml:space="preserve">Variance (Planned-EAC)</t>
  </si>
  <si>
    <t xml:space="preserve">Notes</t>
  </si>
  <si>
    <t xml:space="preserve">SAP + randomization schedule</t>
  </si>
  <si>
    <t xml:space="preserve">ADaM specifications</t>
  </si>
  <si>
    <t xml:space="preserve">ADaM programming</t>
  </si>
  <si>
    <t xml:space="preserve">ADaM QC / validation</t>
  </si>
  <si>
    <t xml:space="preserve">TLF programming</t>
  </si>
  <si>
    <t xml:space="preserve">TLF QC (double-programming)</t>
  </si>
  <si>
    <t xml:space="preserve">PK / NCA (Phoenix)</t>
  </si>
  <si>
    <t xml:space="preserve">Interim / DSMB outputs</t>
  </si>
  <si>
    <t xml:space="preserve">CSR tables + narrative support</t>
  </si>
  <si>
    <t xml:space="preserve">TOTAL (deliverables)</t>
  </si>
  <si>
    <t xml:space="preserve">Contingency (management reserve, hrs)</t>
  </si>
  <si>
    <t xml:space="preserve">NET FINDABLE = (Planned + Contingency) - EAC</t>
  </si>
  <si>
    <t xml:space="preserve">Find Hours — where do the hours for a new deliverable come from?</t>
  </si>
  <si>
    <t xml:space="preserve">New deliverable — estimated hours needed:</t>
  </si>
  <si>
    <t xml:space="preserve">Under-run slack (net) = Planned - EAC</t>
  </si>
  <si>
    <t xml:space="preserve">Contingency (management reserve)</t>
  </si>
  <si>
    <t xml:space="preserve">Net findable (total headroom)</t>
  </si>
  <si>
    <t xml:space="preserve">Shortfall (need - net findable, if positive)</t>
  </si>
  <si>
    <t xml:space="preserve">VERDICT</t>
  </si>
  <si>
    <t xml:space="preserve">Source the hours in this order:</t>
  </si>
  <si>
    <t xml:space="preserve">1 · Reallocate under-run slack (already yours)</t>
  </si>
  <si>
    <t xml:space="preserve">2 · Draw the contingency buffer (a recorded decision)</t>
  </si>
  <si>
    <t xml:space="preserve">3 · Defer / re-sequence lower-priority in-scope work</t>
  </si>
  <si>
    <t xml:space="preserve">4 · Change order for any remaining shortfall — don't absorb silently</t>
  </si>
  <si>
    <t xml:space="preserve">Change Order — Effort (Hours) Request</t>
  </si>
  <si>
    <t xml:space="preserve">Study / project</t>
  </si>
  <si>
    <t xml:space="preserve">Change order #</t>
  </si>
  <si>
    <t xml:space="preserve">Date raised</t>
  </si>
  <si>
    <t xml:space="preserve">Raised by</t>
  </si>
  <si>
    <t xml:space="preserve">The out-of-scope work (what &amp; who asked)</t>
  </si>
  <si>
    <t xml:space="preserve">Why it is out of scope</t>
  </si>
  <si>
    <t xml:space="preserve">Estimated effort for the new work (hrs)</t>
  </si>
  <si>
    <t xml:space="preserve">Found: under-run slack reallocated (hrs)</t>
  </si>
  <si>
    <t xml:space="preserve">Found: contingency drawn (hrs)</t>
  </si>
  <si>
    <t xml:space="preserve">Freed by deferring lower-priority work (hrs)</t>
  </si>
  <si>
    <t xml:space="preserve">SHORTFALL requiring this change order (hrs)</t>
  </si>
  <si>
    <t xml:space="preserve">Timeline / critical-path impact</t>
  </si>
  <si>
    <t xml:space="preserve">Lead biostatistician (name / date)</t>
  </si>
  <si>
    <t xml:space="preserve">Project manager (name / date)</t>
  </si>
  <si>
    <t xml:space="preserve">Sponsor / accountable signer (name / date)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</si>
</sst>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B1020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B102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2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3" customFormat="false" ht="15" hidden="false" customHeight="true" outlineLevel="0" collapsed="false">
      <c r="A3" s="2"/>
      <c r="B3" s="3"/>
    </row>
    <row r="4" customFormat="false" ht="60" hidden="false" customHeight="true" outlineLevel="0" collapsed="false">
      <c r="A4" s="2" t="s">
        <v>1</v>
      </c>
      <c r="B4" s="3" t="s">
        <v>2</v>
      </c>
    </row>
    <row r="5" customFormat="false" ht="15" hidden="false" customHeight="true" outlineLevel="0" collapsed="false">
      <c r="A5" s="2" t="s">
        <v>3</v>
      </c>
      <c r="B5" s="3"/>
    </row>
    <row r="6" customFormat="false" ht="30" hidden="false" customHeight="true" outlineLevel="0" collapsed="false">
      <c r="A6" s="2" t="s">
        <v>4</v>
      </c>
      <c r="B6" s="3" t="s">
        <v>5</v>
      </c>
    </row>
    <row r="7" customFormat="false" ht="30" hidden="false" customHeight="true" outlineLevel="0" collapsed="false">
      <c r="A7" s="2" t="s">
        <v>6</v>
      </c>
      <c r="B7" s="3" t="s">
        <v>7</v>
      </c>
    </row>
    <row r="8" customFormat="false" ht="45" hidden="false" customHeight="true" outlineLevel="0" collapsed="false">
      <c r="A8" s="2" t="s">
        <v>8</v>
      </c>
      <c r="B8" s="3" t="s">
        <v>9</v>
      </c>
    </row>
    <row r="9" customFormat="false" ht="45" hidden="false" customHeight="true" outlineLevel="0" collapsed="false">
      <c r="A9" s="2" t="s">
        <v>10</v>
      </c>
      <c r="B9" s="3" t="s">
        <v>11</v>
      </c>
    </row>
    <row r="10" customFormat="false" ht="45" hidden="false" customHeight="true" outlineLevel="0" collapsed="false">
      <c r="A10" s="2" t="s">
        <v>12</v>
      </c>
      <c r="B10" s="3" t="s">
        <v>13</v>
      </c>
    </row>
    <row r="11" customFormat="false" ht="45" hidden="false" customHeight="true" outlineLevel="0" collapsed="false">
      <c r="A11" s="2" t="s">
        <v>14</v>
      </c>
      <c r="B11" s="3" t="s">
        <v>15</v>
      </c>
    </row>
    <row r="12" customFormat="false" ht="15" hidden="false" customHeight="true" outlineLevel="0" collapsed="false">
      <c r="A12" s="2" t="s">
        <v>16</v>
      </c>
      <c r="B12" s="3"/>
    </row>
    <row r="13" customFormat="false" ht="30" hidden="false" customHeight="true" outlineLevel="0" collapsed="false">
      <c r="A13" s="2" t="s">
        <v>17</v>
      </c>
      <c r="B13" s="3" t="s">
        <v>18</v>
      </c>
    </row>
    <row r="14" customFormat="false" ht="15" hidden="false" customHeight="true" outlineLevel="0" collapsed="false">
      <c r="A14" s="2" t="s">
        <v>19</v>
      </c>
      <c r="B14" s="3" t="s">
        <v>20</v>
      </c>
    </row>
    <row r="15" customFormat="false" ht="15" hidden="false" customHeight="true" outlineLevel="0" collapsed="false">
      <c r="A15" s="2" t="s">
        <v>21</v>
      </c>
      <c r="B15" s="3" t="s">
        <v>22</v>
      </c>
    </row>
    <row r="16" customFormat="false" ht="30" hidden="false" customHeight="true" outlineLevel="0" collapsed="false">
      <c r="A16" s="2" t="s">
        <v>23</v>
      </c>
      <c r="B16" s="3" t="s">
        <v>24</v>
      </c>
    </row>
    <row r="17" customFormat="false" ht="15" hidden="false" customHeight="true" outlineLevel="0" collapsed="false">
      <c r="A17" s="2" t="s">
        <v>25</v>
      </c>
      <c r="B17" s="3"/>
    </row>
    <row r="18" customFormat="false" ht="15" hidden="false" customHeight="true" outlineLevel="0" collapsed="false">
      <c r="A18" s="2" t="s">
        <v>26</v>
      </c>
      <c r="B18" s="3" t="s">
        <v>27</v>
      </c>
    </row>
    <row r="19" customFormat="false" ht="15" hidden="false" customHeight="true" outlineLevel="0" collapsed="false">
      <c r="A19" s="2" t="s">
        <v>28</v>
      </c>
      <c r="B19" s="3" t="s">
        <v>29</v>
      </c>
    </row>
    <row r="20" customFormat="false" ht="15" hidden="false" customHeight="true" outlineLevel="0" collapsed="false">
      <c r="A20" s="2" t="s">
        <v>30</v>
      </c>
      <c r="B20" s="3" t="s">
        <v>31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6" min="5" style="0" width="20"/>
    <col collapsed="false" customWidth="true" hidden="false" outlineLevel="0" max="7" min="7" style="0" width="30"/>
  </cols>
  <sheetData>
    <row r="1" customFormat="false" ht="30" hidden="false" customHeight="true" outlineLevel="0" collapsed="false">
      <c r="A1" s="1" t="s">
        <v>32</v>
      </c>
      <c r="B1" s="1"/>
      <c r="C1" s="1"/>
      <c r="D1" s="1"/>
      <c r="E1" s="1"/>
      <c r="F1" s="1"/>
      <c r="G1" s="1"/>
    </row>
    <row r="2" customFormat="false" ht="26.85" hidden="false" customHeight="false" outlineLevel="0" collapsed="false">
      <c r="A2" s="4" t="s">
        <v>33</v>
      </c>
      <c r="B2" s="4" t="s">
        <v>34</v>
      </c>
      <c r="C2" s="4" t="s">
        <v>35</v>
      </c>
      <c r="D2" s="4" t="s">
        <v>36</v>
      </c>
      <c r="E2" s="4" t="s">
        <v>37</v>
      </c>
      <c r="F2" s="4" t="s">
        <v>38</v>
      </c>
      <c r="G2" s="4" t="s">
        <v>39</v>
      </c>
    </row>
    <row r="3" customFormat="false" ht="15" hidden="false" customHeight="false" outlineLevel="0" collapsed="false">
      <c r="A3" s="5" t="s">
        <v>40</v>
      </c>
      <c r="B3" s="6" t="n">
        <v>80</v>
      </c>
      <c r="C3" s="6" t="n">
        <v>78</v>
      </c>
      <c r="D3" s="7" t="n">
        <v>1</v>
      </c>
      <c r="E3" s="6" t="n">
        <v>78</v>
      </c>
      <c r="F3" s="8" t="n">
        <f aca="false">B3-E3</f>
        <v>2</v>
      </c>
      <c r="G3" s="9"/>
    </row>
    <row r="4" customFormat="false" ht="15" hidden="false" customHeight="false" outlineLevel="0" collapsed="false">
      <c r="A4" s="5" t="s">
        <v>41</v>
      </c>
      <c r="B4" s="6" t="n">
        <v>60</v>
      </c>
      <c r="C4" s="6" t="n">
        <v>55</v>
      </c>
      <c r="D4" s="7" t="n">
        <v>1</v>
      </c>
      <c r="E4" s="6" t="n">
        <v>55</v>
      </c>
      <c r="F4" s="8" t="n">
        <f aca="false">B4-E4</f>
        <v>5</v>
      </c>
      <c r="G4" s="9"/>
    </row>
    <row r="5" customFormat="false" ht="15" hidden="false" customHeight="false" outlineLevel="0" collapsed="false">
      <c r="A5" s="5" t="s">
        <v>42</v>
      </c>
      <c r="B5" s="6" t="n">
        <v>120</v>
      </c>
      <c r="C5" s="6" t="n">
        <v>90</v>
      </c>
      <c r="D5" s="7" t="n">
        <v>0.7</v>
      </c>
      <c r="E5" s="6" t="n">
        <v>128</v>
      </c>
      <c r="F5" s="8" t="n">
        <f aca="false">B5-E5</f>
        <v>-8</v>
      </c>
      <c r="G5" s="9"/>
    </row>
    <row r="6" customFormat="false" ht="15" hidden="false" customHeight="false" outlineLevel="0" collapsed="false">
      <c r="A6" s="5" t="s">
        <v>43</v>
      </c>
      <c r="B6" s="6" t="n">
        <v>80</v>
      </c>
      <c r="C6" s="6" t="n">
        <v>40</v>
      </c>
      <c r="D6" s="7" t="n">
        <v>0.6</v>
      </c>
      <c r="E6" s="6" t="n">
        <v>70</v>
      </c>
      <c r="F6" s="8" t="n">
        <f aca="false">B6-E6</f>
        <v>10</v>
      </c>
      <c r="G6" s="9"/>
    </row>
    <row r="7" customFormat="false" ht="15" hidden="false" customHeight="false" outlineLevel="0" collapsed="false">
      <c r="A7" s="5" t="s">
        <v>44</v>
      </c>
      <c r="B7" s="6" t="n">
        <v>200</v>
      </c>
      <c r="C7" s="6" t="n">
        <v>120</v>
      </c>
      <c r="D7" s="7" t="n">
        <v>0.6</v>
      </c>
      <c r="E7" s="6" t="n">
        <v>210</v>
      </c>
      <c r="F7" s="8" t="n">
        <f aca="false">B7-E7</f>
        <v>-10</v>
      </c>
      <c r="G7" s="9"/>
    </row>
    <row r="8" customFormat="false" ht="15" hidden="false" customHeight="false" outlineLevel="0" collapsed="false">
      <c r="A8" s="5" t="s">
        <v>45</v>
      </c>
      <c r="B8" s="6" t="n">
        <v>120</v>
      </c>
      <c r="C8" s="6" t="n">
        <v>50</v>
      </c>
      <c r="D8" s="7" t="n">
        <v>0.45</v>
      </c>
      <c r="E8" s="6" t="n">
        <v>110</v>
      </c>
      <c r="F8" s="8" t="n">
        <f aca="false">B8-E8</f>
        <v>10</v>
      </c>
      <c r="G8" s="9"/>
    </row>
    <row r="9" customFormat="false" ht="15" hidden="false" customHeight="false" outlineLevel="0" collapsed="false">
      <c r="A9" s="5" t="s">
        <v>46</v>
      </c>
      <c r="B9" s="6" t="n">
        <v>60</v>
      </c>
      <c r="C9" s="6" t="n">
        <v>30</v>
      </c>
      <c r="D9" s="7" t="n">
        <v>0.55</v>
      </c>
      <c r="E9" s="6" t="n">
        <v>55</v>
      </c>
      <c r="F9" s="8" t="n">
        <f aca="false">B9-E9</f>
        <v>5</v>
      </c>
      <c r="G9" s="9"/>
    </row>
    <row r="10" customFormat="false" ht="15" hidden="false" customHeight="false" outlineLevel="0" collapsed="false">
      <c r="A10" s="5" t="s">
        <v>47</v>
      </c>
      <c r="B10" s="6" t="n">
        <v>40</v>
      </c>
      <c r="C10" s="6" t="n">
        <v>40</v>
      </c>
      <c r="D10" s="7" t="n">
        <v>1</v>
      </c>
      <c r="E10" s="6" t="n">
        <v>40</v>
      </c>
      <c r="F10" s="8" t="n">
        <f aca="false">B10-E10</f>
        <v>0</v>
      </c>
      <c r="G10" s="9"/>
    </row>
    <row r="11" customFormat="false" ht="15" hidden="false" customHeight="false" outlineLevel="0" collapsed="false">
      <c r="A11" s="5" t="s">
        <v>48</v>
      </c>
      <c r="B11" s="6" t="n">
        <v>90</v>
      </c>
      <c r="C11" s="6" t="n">
        <v>10</v>
      </c>
      <c r="D11" s="7" t="n">
        <v>0.1</v>
      </c>
      <c r="E11" s="6" t="n">
        <v>85</v>
      </c>
      <c r="F11" s="8" t="n">
        <f aca="false">B11-E11</f>
        <v>5</v>
      </c>
      <c r="G11" s="9"/>
    </row>
    <row r="12" customFormat="false" ht="15" hidden="false" customHeight="false" outlineLevel="0" collapsed="false">
      <c r="A12" s="10"/>
      <c r="B12" s="10"/>
      <c r="C12" s="10"/>
      <c r="D12" s="11"/>
      <c r="E12" s="10"/>
      <c r="F12" s="8" t="str">
        <f aca="false">IF(B12="","",B12-E12)</f>
        <v/>
      </c>
      <c r="G12" s="10"/>
    </row>
    <row r="13" customFormat="false" ht="15" hidden="false" customHeight="false" outlineLevel="0" collapsed="false">
      <c r="A13" s="10"/>
      <c r="B13" s="10"/>
      <c r="C13" s="10"/>
      <c r="D13" s="11"/>
      <c r="E13" s="10"/>
      <c r="F13" s="8" t="str">
        <f aca="false">IF(B13="","",B13-E13)</f>
        <v/>
      </c>
      <c r="G13" s="10"/>
    </row>
    <row r="14" customFormat="false" ht="15" hidden="false" customHeight="false" outlineLevel="0" collapsed="false">
      <c r="A14" s="10"/>
      <c r="B14" s="10"/>
      <c r="C14" s="10"/>
      <c r="D14" s="11"/>
      <c r="E14" s="10"/>
      <c r="F14" s="8" t="str">
        <f aca="false">IF(B14="","",B14-E14)</f>
        <v/>
      </c>
      <c r="G14" s="10"/>
    </row>
    <row r="15" customFormat="false" ht="15" hidden="false" customHeight="false" outlineLevel="0" collapsed="false">
      <c r="A15" s="10"/>
      <c r="B15" s="10"/>
      <c r="C15" s="10"/>
      <c r="D15" s="11"/>
      <c r="E15" s="10"/>
      <c r="F15" s="8" t="str">
        <f aca="false">IF(B15="","",B15-E15)</f>
        <v/>
      </c>
      <c r="G15" s="10"/>
    </row>
    <row r="16" customFormat="false" ht="15" hidden="false" customHeight="false" outlineLevel="0" collapsed="false">
      <c r="A16" s="10"/>
      <c r="B16" s="10"/>
      <c r="C16" s="10"/>
      <c r="D16" s="11"/>
      <c r="E16" s="10"/>
      <c r="F16" s="8" t="str">
        <f aca="false">IF(B16="","",B16-E16)</f>
        <v/>
      </c>
      <c r="G16" s="10"/>
    </row>
    <row r="17" customFormat="false" ht="15" hidden="false" customHeight="false" outlineLevel="0" collapsed="false">
      <c r="A17" s="10"/>
      <c r="B17" s="10"/>
      <c r="C17" s="10"/>
      <c r="D17" s="11"/>
      <c r="E17" s="10"/>
      <c r="F17" s="8" t="str">
        <f aca="false">IF(B17="","",B17-E17)</f>
        <v/>
      </c>
      <c r="G17" s="10"/>
    </row>
    <row r="18" customFormat="false" ht="15" hidden="false" customHeight="false" outlineLevel="0" collapsed="false">
      <c r="A18" s="12" t="s">
        <v>49</v>
      </c>
      <c r="B18" s="13" t="n">
        <f aca="false">SUM(B3:B17)</f>
        <v>850</v>
      </c>
      <c r="C18" s="13" t="n">
        <f aca="false">SUM(C3:C17)</f>
        <v>513</v>
      </c>
      <c r="D18" s="14"/>
      <c r="E18" s="13" t="n">
        <f aca="false">SUM(E3:E17)</f>
        <v>831</v>
      </c>
      <c r="F18" s="13" t="n">
        <f aca="false">B18-E18</f>
        <v>19</v>
      </c>
      <c r="G18" s="14"/>
    </row>
    <row r="20" customFormat="false" ht="15" hidden="false" customHeight="false" outlineLevel="0" collapsed="false">
      <c r="A20" s="15" t="s">
        <v>50</v>
      </c>
      <c r="B20" s="6" t="n">
        <v>40</v>
      </c>
    </row>
    <row r="21" customFormat="false" ht="15" hidden="false" customHeight="false" outlineLevel="0" collapsed="false">
      <c r="A21" s="16" t="s">
        <v>51</v>
      </c>
      <c r="B21" s="17" t="n">
        <f aca="false">B18+B20-E18</f>
        <v>59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46"/>
  </cols>
  <sheetData>
    <row r="1" customFormat="false" ht="30" hidden="false" customHeight="true" outlineLevel="0" collapsed="false">
      <c r="A1" s="1" t="s">
        <v>52</v>
      </c>
      <c r="B1" s="1"/>
      <c r="C1" s="1"/>
      <c r="D1" s="1"/>
    </row>
    <row r="3" customFormat="false" ht="15" hidden="false" customHeight="false" outlineLevel="0" collapsed="false">
      <c r="A3" s="18" t="s">
        <v>53</v>
      </c>
      <c r="B3" s="6" t="n">
        <v>45</v>
      </c>
    </row>
    <row r="5" customFormat="false" ht="15" hidden="false" customHeight="false" outlineLevel="0" collapsed="false">
      <c r="A5" s="19" t="s">
        <v>54</v>
      </c>
      <c r="B5" s="20" t="n">
        <f aca="false">'Effort Ledger'!B18-'Effort Ledger'!E18</f>
        <v>19</v>
      </c>
    </row>
    <row r="6" customFormat="false" ht="15" hidden="false" customHeight="false" outlineLevel="0" collapsed="false">
      <c r="A6" s="19" t="s">
        <v>55</v>
      </c>
      <c r="B6" s="20" t="n">
        <f aca="false">'Effort Ledger'!B20</f>
        <v>40</v>
      </c>
    </row>
    <row r="7" customFormat="false" ht="15" hidden="false" customHeight="false" outlineLevel="0" collapsed="false">
      <c r="A7" s="19" t="s">
        <v>56</v>
      </c>
      <c r="B7" s="20" t="n">
        <f aca="false">'Effort Ledger'!B21</f>
        <v>59</v>
      </c>
    </row>
    <row r="9" customFormat="false" ht="15" hidden="false" customHeight="false" outlineLevel="0" collapsed="false">
      <c r="A9" s="19" t="s">
        <v>57</v>
      </c>
      <c r="B9" s="8" t="n">
        <f aca="false">MAX(0,B3-B7)</f>
        <v>0</v>
      </c>
    </row>
    <row r="10" customFormat="false" ht="31.5" hidden="false" customHeight="true" outlineLevel="0" collapsed="false">
      <c r="A10" s="16" t="s">
        <v>58</v>
      </c>
      <c r="B10" s="21" t="str">
        <f aca="false">IF(B3&lt;=B7,"Absorbable internally - reallocate slack + contingency","Change order needed for "&amp;B9&amp;" h - the rest is added scope")</f>
        <v>Absorbable internally - reallocate slack + contingency</v>
      </c>
    </row>
    <row r="12" customFormat="false" ht="15" hidden="false" customHeight="false" outlineLevel="0" collapsed="false">
      <c r="A12" s="22" t="s">
        <v>59</v>
      </c>
    </row>
    <row r="13" customFormat="false" ht="15" hidden="false" customHeight="false" outlineLevel="0" collapsed="false">
      <c r="A13" s="23" t="s">
        <v>60</v>
      </c>
    </row>
    <row r="14" customFormat="false" ht="15" hidden="false" customHeight="false" outlineLevel="0" collapsed="false">
      <c r="A14" s="23" t="s">
        <v>61</v>
      </c>
    </row>
    <row r="15" customFormat="false" ht="15" hidden="false" customHeight="false" outlineLevel="0" collapsed="false">
      <c r="A15" s="23" t="s">
        <v>62</v>
      </c>
    </row>
    <row r="16" customFormat="false" ht="15" hidden="false" customHeight="false" outlineLevel="0" collapsed="false">
      <c r="A16" s="23" t="s">
        <v>63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52"/>
  </cols>
  <sheetData>
    <row r="1" customFormat="false" ht="30" hidden="false" customHeight="true" outlineLevel="0" collapsed="false">
      <c r="A1" s="1" t="s">
        <v>64</v>
      </c>
      <c r="B1" s="1"/>
      <c r="C1" s="1"/>
      <c r="D1" s="1"/>
    </row>
    <row r="3" customFormat="false" ht="25.5" hidden="false" customHeight="true" outlineLevel="0" collapsed="false">
      <c r="A3" s="24" t="s">
        <v>65</v>
      </c>
      <c r="B3" s="25"/>
    </row>
    <row r="4" customFormat="false" ht="25.5" hidden="false" customHeight="true" outlineLevel="0" collapsed="false">
      <c r="A4" s="24" t="s">
        <v>66</v>
      </c>
      <c r="B4" s="25"/>
    </row>
    <row r="5" customFormat="false" ht="25.5" hidden="false" customHeight="true" outlineLevel="0" collapsed="false">
      <c r="A5" s="24" t="s">
        <v>67</v>
      </c>
      <c r="B5" s="25"/>
    </row>
    <row r="6" customFormat="false" ht="25.5" hidden="false" customHeight="true" outlineLevel="0" collapsed="false">
      <c r="A6" s="24" t="s">
        <v>68</v>
      </c>
      <c r="B6" s="25"/>
    </row>
    <row r="7" customFormat="false" ht="25.5" hidden="false" customHeight="true" outlineLevel="0" collapsed="false">
      <c r="A7" s="24" t="s">
        <v>69</v>
      </c>
      <c r="B7" s="25"/>
    </row>
    <row r="8" customFormat="false" ht="25.5" hidden="false" customHeight="true" outlineLevel="0" collapsed="false">
      <c r="A8" s="24" t="s">
        <v>70</v>
      </c>
      <c r="B8" s="25"/>
    </row>
    <row r="9" customFormat="false" ht="25.5" hidden="false" customHeight="true" outlineLevel="0" collapsed="false">
      <c r="A9" s="24" t="s">
        <v>71</v>
      </c>
      <c r="B9" s="25"/>
    </row>
    <row r="10" customFormat="false" ht="25.5" hidden="false" customHeight="true" outlineLevel="0" collapsed="false">
      <c r="A10" s="24" t="s">
        <v>72</v>
      </c>
      <c r="B10" s="25"/>
    </row>
    <row r="11" customFormat="false" ht="25.5" hidden="false" customHeight="true" outlineLevel="0" collapsed="false">
      <c r="A11" s="24" t="s">
        <v>73</v>
      </c>
      <c r="B11" s="25"/>
    </row>
    <row r="12" customFormat="false" ht="25.5" hidden="false" customHeight="true" outlineLevel="0" collapsed="false">
      <c r="A12" s="24" t="s">
        <v>74</v>
      </c>
      <c r="B12" s="25"/>
    </row>
    <row r="13" customFormat="false" ht="25.5" hidden="false" customHeight="true" outlineLevel="0" collapsed="false">
      <c r="A13" s="24" t="s">
        <v>75</v>
      </c>
      <c r="B13" s="25"/>
    </row>
    <row r="14" customFormat="false" ht="25.5" hidden="false" customHeight="true" outlineLevel="0" collapsed="false">
      <c r="A14" s="24" t="s">
        <v>76</v>
      </c>
      <c r="B14" s="25"/>
    </row>
    <row r="15" customFormat="false" ht="25.5" hidden="false" customHeight="true" outlineLevel="0" collapsed="false">
      <c r="A15" s="24" t="s">
        <v>77</v>
      </c>
      <c r="B15" s="25"/>
    </row>
    <row r="16" customFormat="false" ht="25.5" hidden="false" customHeight="true" outlineLevel="0" collapsed="false">
      <c r="A16" s="24" t="s">
        <v>78</v>
      </c>
      <c r="B16" s="25"/>
    </row>
    <row r="17" customFormat="false" ht="25.5" hidden="false" customHeight="true" outlineLevel="0" collapsed="false">
      <c r="A17" s="24" t="s">
        <v>79</v>
      </c>
      <c r="B17" s="25"/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2026-07-07T13:41:56Z</dcterms:created>
  <dc:creator>openpyxl</dc:creator>
  <dc:description/>
  <dc:language>en-US</dc:language>
  <cp:lastModifiedBy/>
  <dcterms:modified xsi:type="dcterms:W3CDTF">2026-07-07T13:41:56Z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