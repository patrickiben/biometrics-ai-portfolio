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4a66d3b77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ad4831624f74467"/>
    <x:sheet xmlns:r="http://schemas.openxmlformats.org/officeDocument/2006/relationships" name="Effort Ledger" sheetId="2" r:id="Rb9c327cba28e4482"/>
    <x:sheet xmlns:r="http://schemas.openxmlformats.org/officeDocument/2006/relationships" name="Find Hours" sheetId="3" r:id="Rde2ca66648604299"/>
    <x:sheet xmlns:r="http://schemas.openxmlformats.org/officeDocument/2006/relationships" name="Change Order" sheetId="4" r:id="Ra0d2264797bc4781"/>
  </x:sheets>
</x:workbook>
</file>

<file path=xl/sharedStrings.xml><?xml version="1.0" encoding="utf-8"?>
<x:sst xmlns:x="http://schemas.openxmlformats.org/spreadsheetml/2006/main">
  <x:si>
    <x:t xml:space="preserve">Hours Budget Reconciliation  —  finding hours for out-of-scope work</x:t>
  </x:si>
  <x:si>
    <x:t xml:space="preserve">When an unplanned deliverable lands (an ad-hoc interim, an extra TLF pack, a sponsor re-run) you have to answer one question: can we absorb this, or is it a change order? This workbook does the arithmetic; the 'FindHours playbook' HTML tells you where every number comes from. HOURS/EFFORT ONLY — no rates, no dollars, no headcount. Hours are what you control on a study and what a change order is written in.</x:t>
  </x:si>
  <x:si>
    <x:t xml:space="preserve">The core idea (read this first)</x:t>
  </x:si>
  <x:si>
    <x:t xml:space="preserve">Budget left is NOT what's left to spend. Planned − Actual looks like a cushion, but most of it is already committed to finishing work in flight. What you can actually redeploy is:      NET FINDABLE = (Σ Planned + Contingency) − Σ EAC      — total budget plus reserve, minus the honest forecast cost of finishing everything already in scope. Only that difference is real, spendable slack. The Effort Ledger computes it for you.</x:t>
  </x:si>
  <x:si>
    <x:t xml:space="preserve">The four sheets</x:t>
  </x:si>
  <x:si>
    <x:t xml:space="preserve">The workflow</x:t>
  </x:si>
  <x:si>
    <x:t xml:space="preserve">Get PLANNED hours from the project budget / SOW (a task grid by deliverable, often by role). One row per biometrics task on the Effort Ledger. Add the contingency / management reserve as its own row.</x:t>
  </x:si>
  <x:si>
    <x:t xml:space="preserve">Get ACTUAL hours from the time-tracking system, to a cutoff date. Correct for timesheet lag — add verbal estimates of worked-but-unlogged hours, or every task looks falsely under budget and your slack is a mirage.</x:t>
  </x:si>
  <x:si>
    <x:t xml:space="preserve">Grade the slack. Only a REAL under-run is spendable: realized (completed task came in under) = safe; projected (in-progress, forecasting under, enough done to trust) = discount; illusory (early task, low actual only because it hasn't ramped) = NOT slack. Counting illusory slack is the #1 way this math goes wrong.</x:t>
  </x:si>
  <x:si>
    <x:t xml:space="preserve">Read NET FINDABLE off the ledger total. Be able to say which task each slack hour comes from and why the under-run is real, before you offer it to a PM.</x:t>
  </x:si>
  <x:si>
    <x:t xml:space="preserve">Estimating EAC — pick the method that fits what you know</x:t>
  </x:si>
  <x:si>
    <x:t xml:space="preserve">• Actual + ETC (default): Actual-to-date + your honest estimate-to-complete of the remaining work.   • % complete: EAC = Actual ÷ (% complete) — a task 60% done at 90 h forecasts ≈150 h; assumes effort tracks progress linearly.   • Bottoms-up: Actual + a fresh estimate of each remaining item (e.g. 6 TLFs left × ~4 h).   • Completed: EAC = Actual (task is done) — this is your realized variance. Variance = Planned − EAC: positive = forecasting under (possible slack); negative = forecasting over (a problem to raise, NOT a source of hours).</x:t>
  </x:si>
  <x:si>
    <x:t xml:space="preserve">The find-hours decision tree (work the levers in this order)</x:t>
  </x:si>
  <x:si>
    <x:t xml:space="preserve">1) Reallocate under-run SLACK to the new task — inside your project; you decide it and record which task gave / received.   2) Draw CONTINGENCY — a PM decision to record; once spent it's gone for the next surprise.   3) DEFER / re-sequence lower-priority in-scope work — trades schedule for hours; needs PM/sponsor to agree new dates.   4) CHANGE ORDER for any remaining shortfall — it's added scope; don't absorb it silently. Sequence: raise → lead biostat + PM review → sponsor signs → budget amended → THEN do the work.</x:t>
  </x:si>
  <x:si>
    <x:t xml:space="preserve">How this connects to your real systems</x:t>
  </x:si>
  <x:si>
    <x:t xml:space="preserve">• Planned hours come from the project budget / SOW task grid (kept by the PM or project finance, often in the CTMS or a planning workbook): read the biometrics task rows and their budgeted hours.
• Actual hours come from the company timesheet system (hours logged to the project/task code): pull a report to a cutoff date, then add verbal estimates for worked-but-unlogged hours to correct for timesheet lag.
• This workbook does not connect to those systems: you export from each and transcribe or paste the numbers here, then it computes net findable and the verdict.
• The change order this workbook drafts routes through the real contract process (lead biostatistician + PM review, sponsor sign-off, SOW/budget amended), and the work is performed only after that. Everything stays in hours; pricing the effort is the PM's / finance's job, not this tool's.</x:t>
  </x:si>
  <x:si>
    <x:t xml:space="preserve">100% synthetic. Hours/effort only — no dollars, rates, ROI, or headcount. Full worked detail + conversation scripts: the 'FindHours playbook' HTML next to this file.</x:t>
  </x:si>
  <x:si>
    <x:t xml:space="preserve">Effort Ledger (hours) — the rows below are a WORKED EXAMPLE; replace with your deliverables. Blue = you enter; grey = auto.</x:t>
  </x:si>
  <x:si>
    <x:t xml:space="preserve">Deliverable</x:t>
  </x:si>
  <x:si>
    <x:t xml:space="preserve">Planned Hours</x:t>
  </x:si>
  <x:si>
    <x:t xml:space="preserve">Actual to Date</x:t>
  </x:si>
  <x:si>
    <x:t xml:space="preserve">% Complete</x:t>
  </x:si>
  <x:si>
    <x:t xml:space="preserve">EAC (est. at completion)</x:t>
  </x:si>
  <x:si>
    <x:t xml:space="preserve">Variance (Planned-EAC)</x:t>
  </x:si>
  <x:si>
    <x:t xml:space="preserve">Notes</x:t>
  </x:si>
  <x:si>
    <x:t xml:space="preserve">SAP + randomization schedule</x:t>
  </x:si>
  <x:si>
    <x:t xml:space="preserve">ADaM specifications</x:t>
  </x:si>
  <x:si>
    <x:t xml:space="preserve">ADaM programming</x:t>
  </x:si>
  <x:si>
    <x:t xml:space="preserve">ADaM QC / validation</x:t>
  </x:si>
  <x:si>
    <x:t xml:space="preserve">TLF programming</x:t>
  </x:si>
  <x:si>
    <x:t xml:space="preserve">TLF QC (double-programming)</x:t>
  </x:si>
  <x:si>
    <x:t xml:space="preserve">PK / NCA (Phoenix)</x:t>
  </x:si>
  <x:si>
    <x:t xml:space="preserve">Interim / DSMB outputs</x:t>
  </x:si>
  <x:si>
    <x:t xml:space="preserve">CSR tables + narrative support</x:t>
  </x:si>
  <x:si>
    <x:t xml:space="preserve">TOTAL (deliverables)</x:t>
  </x:si>
  <x:si>
    <x:t xml:space="preserve">Contingency (management reserve, hrs)</x:t>
  </x:si>
  <x:si>
    <x:t xml:space="preserve">Find Hours — where do the hours for a new deliverable come from?</x:t>
  </x:si>
  <x:si>
    <x:t xml:space="preserve">New deliverable — estimated hours needed:</x:t>
  </x:si>
  <x:si>
    <x:t xml:space="preserve">Under-run slack (net) = Planned - EAC</x:t>
  </x:si>
  <x:si>
    <x:t xml:space="preserve">Contingency (management reserve)</x:t>
  </x:si>
  <x:si>
    <x:t xml:space="preserve">Net findable (total headroom)</x:t>
  </x:si>
  <x:si>
    <x:t xml:space="preserve">Shortfall (need - net findable, if positive)</x:t>
  </x:si>
  <x:si>
    <x:t xml:space="preserve">VERDICT</x:t>
  </x:si>
  <x:si>
    <x:t xml:space="preserve">Source the hours in this order:</x:t>
  </x:si>
  <x:si>
    <x:t xml:space="preserve">1 · Reallocate under-run slack (already yours)</x:t>
  </x:si>
  <x:si>
    <x:t xml:space="preserve">2 · Draw the contingency buffer (a recorded decision)</x:t>
  </x:si>
  <x:si>
    <x:t xml:space="preserve">3 · Defer / re-sequence lower-priority in-scope work</x:t>
  </x:si>
  <x:si>
    <x:t xml:space="preserve">4 · Change order for any remaining shortfall — don't absorb silently</x:t>
  </x:si>
  <x:si>
    <x:t xml:space="preserve">Change Order — Effort (Hours) Request</x:t>
  </x:si>
  <x:si>
    <x:t xml:space="preserve">Study / project</x:t>
  </x:si>
  <x:si>
    <x:t xml:space="preserve">Change order #</x:t>
  </x:si>
  <x:si>
    <x:t xml:space="preserve">Date raised</x:t>
  </x:si>
  <x:si>
    <x:t xml:space="preserve">Raised by</x:t>
  </x:si>
  <x:si>
    <x:t xml:space="preserve">The out-of-scope work (what &amp; who asked)</x:t>
  </x:si>
  <x:si>
    <x:t xml:space="preserve">Why it is out of scope</x:t>
  </x:si>
  <x:si>
    <x:t xml:space="preserve">Estimated effort for the new work (hrs)</x:t>
  </x:si>
  <x:si>
    <x:t xml:space="preserve">Found: under-run slack reallocated (hrs)</x:t>
  </x:si>
  <x:si>
    <x:t xml:space="preserve">Found: contingency drawn (hrs)</x:t>
  </x:si>
  <x:si>
    <x:t xml:space="preserve">Freed by deferring lower-priority work (hrs)</x:t>
  </x:si>
  <x:si>
    <x:t xml:space="preserve">SHORTFALL requiring this change order (hrs)</x:t>
  </x:si>
  <x:si>
    <x:t xml:space="preserve">Timeline / critical-path impact</x:t>
  </x:si>
  <x:si>
    <x:t xml:space="preserve">Lead biostatistician (name / date)</x:t>
  </x:si>
  <x:si>
    <x:t xml:space="preserve">Project manager (name / date)</x:t>
  </x:si>
  <x:si>
    <x:t xml:space="preserve">Sponsor / accountable signer (name / date)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</x:si>
</x:sst>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%"/>
  </x:numFmts>
  <x:fonts count="19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mbria"/>
    </x:font>
    <x:font>
      <x:b/>
      <x:sz val="15"/>
      <x:color rgb="FF1F2A44"/>
      <x:name val="Cambria"/>
    </x:font>
    <x:font>
      <x:sz val="10.5"/>
      <x:color rgb="FF222222"/>
      <x:name val="Cambria"/>
    </x:font>
    <x:font>
      <x:b/>
      <x:sz val="11.5"/>
      <x:color rgb="FFFFFFFF"/>
      <x:name val="Cambria"/>
    </x:font>
    <x:font>
      <x:b/>
      <x:sz val="11"/>
      <x:color rgb="FFFFFFFF"/>
      <x:name val="Cambria"/>
    </x:font>
    <x:font>
      <x:i/>
      <x:sz val="10"/>
      <x:color rgb="FF595959"/>
      <x:name val="Cambria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1"/>
      <x:name val="Arial"/>
    </x:font>
    <x:font>
      <x:b/>
      <x:sz val="12"/>
      <x:name val="Arial"/>
    </x:font>
    <x:font>
      <x:sz val="10"/>
      <x:color rgb="FF008000"/>
      <x:name val="Arial"/>
    </x:font>
    <x:font>
      <x:b/>
      <x:sz val="11"/>
      <x:color rgb="FF1F386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0B1020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center" wrapText="0" shrinkToFit="0"/>
      <x:protection locked="1" hidden="0"/>
    </x:xf>
    <x:xf numFmtId="164" fontId="5" fillId="0" borderId="0" xfId="0" applyFont="1" applyBorder="0" applyAlignment="1" applyProtection="0">
      <x:alignment horizontal="general" vertical="center" wrapText="1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6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7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8" fillId="2" borderId="0" xfId="0" applyFont="1" applyBorder="0" applyAlignment="1" applyProtection="0">
      <x:alignment horizontal="center" vertical="center" wrapText="0" shrinkToFit="0"/>
      <x:protection locked="1" hidden="0"/>
    </x:xf>
    <x:xf numFmtId="164" fontId="9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10" fillId="3" borderId="0" xfId="0" applyFont="1" applyBorder="1" applyAlignment="1" applyProtection="0">
      <x:alignment horizontal="general" vertical="center" wrapText="0" shrinkToFit="0"/>
      <x:protection locked="1" hidden="0"/>
    </x:xf>
    <x:xf numFmtId="164" fontId="11" fillId="4" borderId="1" xfId="0" applyFont="1" applyBorder="1" applyAlignment="1" applyProtection="0">
      <x:alignment horizontal="general" vertical="center" wrapText="1" shrinkToFit="0"/>
      <x:protection locked="1" hidden="0"/>
    </x:xf>
    <x:xf numFmtId="164" fontId="12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3" fillId="5" borderId="1" xfId="0" applyFont="1" applyBorder="1" applyAlignment="1" applyProtection="0">
      <x:alignment horizontal="center" vertical="center" wrapText="0" shrinkToFit="0"/>
      <x:protection locked="1" hidden="0"/>
    </x:xf>
    <x:xf numFmtId="165" fontId="13" fillId="5" borderId="1" xfId="0" applyFont="1" applyBorder="1" applyAlignment="1" applyProtection="0">
      <x:alignment horizontal="center" vertical="center" wrapText="0" shrinkToFit="0"/>
      <x:protection locked="1" hidden="0"/>
    </x:xf>
    <x:xf numFmtId="164" fontId="14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0" fillId="5" borderId="1" xfId="0" applyFont="0" applyBorder="1" applyAlignment="1" applyProtection="0">
      <x:alignment horizontal="general" vertical="bottom" wrapText="0" shrinkToFit="0"/>
      <x:protection locked="1" hidden="0"/>
    </x:xf>
    <x:xf numFmtId="164" fontId="13" fillId="5" borderId="1" xfId="0" applyFont="1" applyBorder="1" applyAlignment="1" applyProtection="0">
      <x:alignment horizontal="general" vertical="bottom" wrapText="0" shrinkToFit="0"/>
      <x:protection locked="1" hidden="0"/>
    </x:xf>
    <x:xf numFmtId="165" fontId="13" fillId="5" borderId="1" xfId="0" applyFont="1" applyBorder="1" applyAlignment="1" applyProtection="0">
      <x:alignment horizontal="general" vertical="bottom" wrapText="0" shrinkToFit="0"/>
      <x:protection locked="1" hidden="0"/>
    </x:xf>
    <x:xf numFmtId="164" fontId="15" fillId="6" borderId="1" xfId="0" applyFont="1" applyBorder="1" applyAlignment="1" applyProtection="0">
      <x:alignment horizontal="general" vertical="bottom" wrapText="0" shrinkToFit="0"/>
      <x:protection locked="1" hidden="0"/>
    </x:xf>
    <x:xf numFmtId="164" fontId="15" fillId="6" borderId="1" xfId="0" applyFont="1" applyBorder="1" applyAlignment="1" applyProtection="0">
      <x:alignment horizontal="center" vertical="center" wrapText="0" shrinkToFit="0"/>
      <x:protection locked="1" hidden="0"/>
    </x:xf>
    <x:xf numFmtId="164" fontId="0" fillId="6" borderId="1" xfId="0" applyFont="0" applyBorder="1" applyAlignment="1" applyProtection="0">
      <x:alignment horizontal="general" vertical="bottom" wrapText="0" shrinkToFit="0"/>
      <x:protection locked="1" hidden="0"/>
    </x:xf>
    <x:xf numFmtId="164" fontId="15" fillId="0" borderId="1" xfId="0" applyFont="1" applyBorder="1" applyAlignment="1" applyProtection="0">
      <x:alignment horizontal="general" vertical="bottom" wrapText="0" shrinkToFit="0"/>
      <x:protection locked="1" hidden="0"/>
    </x:xf>
    <x:xf numFmtId="164" fontId="16" fillId="6" borderId="1" xfId="0" applyFont="1" applyBorder="1" applyAlignment="1" applyProtection="0">
      <x:alignment horizontal="general" vertical="bottom" wrapText="0" shrinkToFit="0"/>
      <x:protection locked="1" hidden="0"/>
    </x:xf>
    <x:xf numFmtId="164" fontId="16" fillId="6" borderId="1" xfId="0" applyFont="1" applyBorder="1" applyAlignment="1" applyProtection="0">
      <x:alignment horizontal="center" vertical="center" wrapText="0" shrinkToFit="0"/>
      <x:protection locked="1" hidden="0"/>
    </x:xf>
    <x:xf numFmtId="164" fontId="16" fillId="5" borderId="1" xfId="0" applyFont="1" applyBorder="1" applyAlignment="1" applyProtection="0">
      <x:alignment horizontal="general" vertical="bottom" wrapText="0" shrinkToFit="0"/>
      <x:protection locked="1" hidden="0"/>
    </x:xf>
    <x:xf numFmtId="164" fontId="12" fillId="0" borderId="1" xfId="0" applyFont="1" applyBorder="1" applyAlignment="1" applyProtection="0">
      <x:alignment horizontal="general" vertical="bottom" wrapText="0" shrinkToFit="0"/>
      <x:protection locked="1" hidden="0"/>
    </x:xf>
    <x:xf numFmtId="164" fontId="17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15" fillId="6" borderId="1" xfId="0" applyFont="1" applyBorder="1" applyAlignment="1" applyProtection="0">
      <x:alignment horizontal="center" vertical="center" wrapText="1" shrinkToFit="0"/>
      <x:protection locked="1" hidden="0"/>
    </x:xf>
    <x:xf numFmtId="164" fontId="18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2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5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0" fillId="5" borderId="1" xfId="0" applyFont="0" applyBorder="1" applyAlignment="1" applyProtection="0">
      <x:alignment horizontal="general" vertical="top" wrapText="1" shrinkToFit="0"/>
      <x:protection locked="1" hidden="0"/>
    </x:xf>
    <x:xf numFmtId="164" fontId="15" fillId="6" borderId="1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B1020"/>
      <x:rgbColor rgb="FF222222"/>
      <x:rgbColor rgb="FF993300"/>
      <x:rgbColor rgb="FF993366"/>
      <x:rgbColor rgb="FF2F5597"/>
      <x:rgbColor rgb="FF1F2A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d9ae35db3497e" /><Relationship Type="http://schemas.openxmlformats.org/officeDocument/2006/relationships/theme" Target="/xl/theme/theme1.xml" Id="R4b0ec2331214460b" /><Relationship Type="http://schemas.openxmlformats.org/officeDocument/2006/relationships/sharedStrings" Target="/xl/sharedStrings.xml" Id="Rde817a302a8f4047" /><Relationship Type="http://schemas.openxmlformats.org/officeDocument/2006/relationships/worksheet" Target="/xl/worksheets/sheet1.xml" Id="R0ad4831624f74467" /><Relationship Type="http://schemas.openxmlformats.org/officeDocument/2006/relationships/worksheet" Target="/xl/worksheets/sheet2.xml" Id="Rb9c327cba28e4482" /><Relationship Type="http://schemas.openxmlformats.org/officeDocument/2006/relationships/worksheet" Target="/xl/worksheets/sheet3.xml" Id="Rde2ca66648604299" /><Relationship Type="http://schemas.openxmlformats.org/officeDocument/2006/relationships/worksheet" Target="/xl/worksheets/sheet4.xml" Id="Ra0d2264797bc478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ColWidth="8.6796875" defaultRowHeight="15"/>
  <x:cols>
    <x:col min="1" max="1" width="5" style="1" hidden="0" customWidth="1"/>
    <x:col min="2" max="2" width="118" style="1" hidden="0" customWidth="1"/>
  </x:cols>
  <x:sheetData>
    <x:row r="1" ht="30" hidden="0" customHeight="1">
      <x:c r="A1" s="2"/>
      <x:c r="B1" s="3" t="s">
        <x:v>0</x:v>
      </x:c>
    </x:row>
    <x:row r="2" ht="48.75" hidden="0" customHeight="1">
      <x:c r="A2" s="4"/>
      <x:c r="B2" s="5" t="s">
        <x:v>1</x:v>
      </x:c>
    </x:row>
    <x:row r="3" ht="15" hidden="0" customHeight="1">
      <x:c r="A3" s="6"/>
      <x:c r="B3" s="6" t="s">
        <x:v>2</x:v>
      </x:c>
    </x:row>
    <x:row r="4" ht="60" hidden="0" customHeight="1">
      <x:c r="A4" s="4"/>
      <x:c r="B4" s="5" t="s">
        <x:v>3</x:v>
      </x:c>
    </x:row>
    <x:row r="5" ht="15" hidden="0" customHeight="1">
      <x:c r="A5" s="6"/>
      <x:c r="B5" s="6" t="s">
        <x:v>4</x:v>
      </x:c>
    </x:row>
    <x:row r="6" ht="30" hidden="0" customHeight="1">
      <x:c r="A6" s="4"/>
      <x:c r="B6" s="5" t="str">
        <x:v>1) Instructions. 2) Effort Ledger: enter tasks in rows 3–17, plus contingency. These are synthetic examples. To add capacity, insert rows above TOTAL and extend formulas. 3) Find Hours: enter the new hours request. 4) Change Order: an example draft for review.</x:v>
      </x:c>
    </x:row>
    <x:row r="7" ht="30" hidden="0" customHeight="1">
      <x:c r="A7" s="6"/>
      <x:c r="B7" s="6" t="s">
        <x:v>5</x:v>
      </x:c>
    </x:row>
    <x:row r="8" ht="45" hidden="0" customHeight="1">
      <x:c r="A8" s="7" t="n">
        <x:v>1</x:v>
      </x:c>
      <x:c r="B8" s="5" t="s">
        <x:v>6</x:v>
      </x:c>
    </x:row>
    <x:row r="9" ht="45" hidden="0" customHeight="1">
      <x:c r="A9" s="7" t="n">
        <x:v>2</x:v>
      </x:c>
      <x:c r="B9" s="5" t="s">
        <x:v>7</x:v>
      </x:c>
    </x:row>
    <x:row r="10" ht="45" hidden="0" customHeight="1">
      <x:c r="A10" s="7" t="n">
        <x:v>3</x:v>
      </x:c>
      <x:c r="B10" s="5" t="str">
        <x:v>Enter EAC manually: the total hours expected at completion, at least the hours already worked. The workbook does not calculate EAC from % Complete; that column is optional context. Enter nonnegative Planned and Actual hours for every named task.</x:v>
      </x:c>
    </x:row>
    <x:row r="11" ht="45" hidden="0" customHeight="1">
      <x:c r="A11" s="7" t="n">
        <x:v>4</x:v>
      </x:c>
      <x:c r="B11" s="5" t="s">
        <x:v>8</x:v>
      </x:c>
    </x:row>
    <x:row r="12" ht="15" hidden="0" customHeight="1">
      <x:c r="A12" s="7" t="n">
        <x:v>5</x:v>
      </x:c>
      <x:c r="B12" s="5" t="s">
        <x:v>9</x:v>
      </x:c>
    </x:row>
    <x:row r="13" ht="30" hidden="0" customHeight="1">
      <x:c r="A13" s="7" t="n">
        <x:v>6</x:v>
      </x:c>
      <x:c r="B13" s="5" t="str">
        <x:v>Enter a nonnegative hours request on Find Hours. Shortfall = MAX(0, Need − Net Findable), including any existing overall overrun. INPUT ERROR means a named task has missing/invalid hours, EAC is below Actual, % Complete is outside 0–100%, or contingency/request is invalid. Resolve inputs before using a verdict.</x:v>
      </x:c>
    </x:row>
    <x:row r="14" ht="15" hidden="0" customHeight="1">
      <x:c r="A14" s="6"/>
      <x:c r="B14" s="6" t="s">
        <x:v>10</x:v>
      </x:c>
    </x:row>
    <x:row r="15" ht="15" hidden="0" customHeight="1">
      <x:c r="A15" s="4"/>
      <x:c r="B15" s="5" t="s">
        <x:v>11</x:v>
      </x:c>
    </x:row>
    <x:row r="16" ht="30" hidden="0" customHeight="1">
      <x:c r="A16" s="6"/>
      <x:c r="B16" s="6" t="s">
        <x:v>12</x:v>
      </x:c>
    </x:row>
    <x:row r="17" ht="15" hidden="0" customHeight="1">
      <x:c r="A17" s="4"/>
      <x:c r="B17" s="5" t="s">
        <x:v>13</x:v>
      </x:c>
    </x:row>
    <x:row r="18" ht="15" hidden="0" customHeight="1">
      <x:c r="A18" s="6"/>
      <x:c r="B18" s="6" t="s">
        <x:v>14</x:v>
      </x:c>
    </x:row>
    <x:row r="19" ht="15" hidden="0" customHeight="1">
      <x:c r="B19" s="5" t="s">
        <x:v>15</x:v>
      </x:c>
    </x:row>
    <x:row r="20" ht="15" hidden="0" customHeight="1">
      <x:c r="A20" s="4"/>
      <x:c r="B20" s="8" t="s">
        <x:v>16</x:v>
      </x:c>
    </x:row>
    <x:row r="21" ht="15" hidden="0">
      <x:c r="A21" s="4"/>
      <x:c r="B21" s="9"/>
    </x:row>
    <x:row r="22" ht="15" hidden="0">
      <x:c r="A22" s="4"/>
      <x:c r="B2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ColWidth="8.6796875" defaultRowHeight="15"/>
  <x:cols>
    <x:col min="1" max="1" width="34" style="1" hidden="0" customWidth="1"/>
    <x:col min="2" max="3" width="14" style="1" hidden="0" customWidth="1"/>
    <x:col min="4" max="4" width="12" style="1" hidden="0" customWidth="1"/>
    <x:col min="5" max="6" width="20" style="1" hidden="0" customWidth="1"/>
    <x:col min="7" max="7" width="30" style="1" hidden="0" customWidth="1"/>
  </x:cols>
  <x:sheetData>
    <x:row r="1" ht="30" hidden="0" customHeight="1">
      <x:c r="A1" s="10" t="s">
        <x:v>17</x:v>
      </x:c>
      <x:c r="B1" s="10"/>
      <x:c r="C1" s="10"/>
      <x:c r="D1" s="10"/>
      <x:c r="E1" s="10"/>
      <x:c r="F1" s="10"/>
      <x:c r="G1" s="10"/>
    </x:row>
    <x:row r="2" ht="26.25" hidden="0" customHeight="1">
      <x:c r="A2" s="11" t="s">
        <x:v>18</x:v>
      </x:c>
      <x:c r="B2" s="11" t="s">
        <x:v>19</x:v>
      </x:c>
      <x:c r="C2" s="11" t="s">
        <x:v>20</x:v>
      </x:c>
      <x:c r="D2" s="11" t="s">
        <x:v>21</x:v>
      </x:c>
      <x:c r="E2" s="11" t="s">
        <x:v>22</x:v>
      </x:c>
      <x:c r="F2" s="11" t="s">
        <x:v>23</x:v>
      </x:c>
      <x:c r="G2" s="11" t="s">
        <x:v>24</x:v>
      </x:c>
    </x:row>
    <x:row r="3" ht="15" hidden="0" customHeight="1">
      <x:c r="A3" s="12" t="s">
        <x:v>25</x:v>
      </x:c>
      <x:c r="B3" s="13" t="n">
        <x:v>80</x:v>
      </x:c>
      <x:c r="C3" s="13" t="n">
        <x:v>78</x:v>
      </x:c>
      <x:c r="D3" s="14" t="n">
        <x:v>1</x:v>
      </x:c>
      <x:c r="E3" s="13" t="n">
        <x:v>78</x:v>
      </x:c>
      <x:c r="F3" s="15" t="n">
        <x:f aca="0">IF(COUNTA(A3:E3)=0,"",IF(OR(A3="",COUNT(B3:C3)&lt;&gt;2,NOT(ISNUMBER(E3)),B3&lt;0,C3&lt;0,E3&lt;C3,AND(D3&lt;&gt;"",OR(NOT(ISNUMBER(D3)),D3&lt;0,D3&gt;1))),"INPUT ERROR",B3-E3))</x:f>
        <x:v>2</x:v>
      </x:c>
      <x:c r="G3" s="16"/>
    </x:row>
    <x:row r="4" ht="15" hidden="0" customHeight="1">
      <x:c r="A4" s="12" t="s">
        <x:v>26</x:v>
      </x:c>
      <x:c r="B4" s="13" t="n">
        <x:v>60</x:v>
      </x:c>
      <x:c r="C4" s="13" t="n">
        <x:v>55</x:v>
      </x:c>
      <x:c r="D4" s="14" t="n">
        <x:v>1</x:v>
      </x:c>
      <x:c r="E4" s="13" t="n">
        <x:v>55</x:v>
      </x:c>
      <x:c r="F4" s="15" t="n">
        <x:f aca="0">IF(COUNTA(A4:E4)=0,"",IF(OR(A4="",COUNT(B4:C4)&lt;&gt;2,NOT(ISNUMBER(E4)),B4&lt;0,C4&lt;0,E4&lt;C4,AND(D4&lt;&gt;"",OR(NOT(ISNUMBER(D4)),D4&lt;0,D4&gt;1))),"INPUT ERROR",B4-E4))</x:f>
        <x:v>5</x:v>
      </x:c>
      <x:c r="G4" s="16"/>
    </x:row>
    <x:row r="5" ht="15" hidden="0" customHeight="1">
      <x:c r="A5" s="12" t="s">
        <x:v>27</x:v>
      </x:c>
      <x:c r="B5" s="13" t="n">
        <x:v>120</x:v>
      </x:c>
      <x:c r="C5" s="13" t="n">
        <x:v>90</x:v>
      </x:c>
      <x:c r="D5" s="14" t="n">
        <x:v>0.7</x:v>
      </x:c>
      <x:c r="E5" s="13" t="n">
        <x:v>128</x:v>
      </x:c>
      <x:c r="F5" s="15" t="n">
        <x:f aca="0">IF(COUNTA(A5:E5)=0,"",IF(OR(A5="",COUNT(B5:C5)&lt;&gt;2,NOT(ISNUMBER(E5)),B5&lt;0,C5&lt;0,E5&lt;C5,AND(D5&lt;&gt;"",OR(NOT(ISNUMBER(D5)),D5&lt;0,D5&gt;1))),"INPUT ERROR",B5-E5))</x:f>
        <x:v>-8</x:v>
      </x:c>
      <x:c r="G5" s="16"/>
    </x:row>
    <x:row r="6" ht="15" hidden="0" customHeight="1">
      <x:c r="A6" s="12" t="s">
        <x:v>28</x:v>
      </x:c>
      <x:c r="B6" s="13" t="n">
        <x:v>80</x:v>
      </x:c>
      <x:c r="C6" s="13" t="n">
        <x:v>40</x:v>
      </x:c>
      <x:c r="D6" s="14" t="n">
        <x:v>0.6</x:v>
      </x:c>
      <x:c r="E6" s="13" t="n">
        <x:v>70</x:v>
      </x:c>
      <x:c r="F6" s="15" t="n">
        <x:f aca="0">IF(COUNTA(A6:E6)=0,"",IF(OR(A6="",COUNT(B6:C6)&lt;&gt;2,NOT(ISNUMBER(E6)),B6&lt;0,C6&lt;0,E6&lt;C6,AND(D6&lt;&gt;"",OR(NOT(ISNUMBER(D6)),D6&lt;0,D6&gt;1))),"INPUT ERROR",B6-E6))</x:f>
        <x:v>10</x:v>
      </x:c>
      <x:c r="G6" s="16"/>
    </x:row>
    <x:row r="7" ht="15" hidden="0" customHeight="1">
      <x:c r="A7" s="12" t="s">
        <x:v>29</x:v>
      </x:c>
      <x:c r="B7" s="13" t="n">
        <x:v>200</x:v>
      </x:c>
      <x:c r="C7" s="13" t="n">
        <x:v>120</x:v>
      </x:c>
      <x:c r="D7" s="14" t="n">
        <x:v>0.6</x:v>
      </x:c>
      <x:c r="E7" s="13" t="n">
        <x:v>210</x:v>
      </x:c>
      <x:c r="F7" s="15" t="n">
        <x:f aca="0">IF(COUNTA(A7:E7)=0,"",IF(OR(A7="",COUNT(B7:C7)&lt;&gt;2,NOT(ISNUMBER(E7)),B7&lt;0,C7&lt;0,E7&lt;C7,AND(D7&lt;&gt;"",OR(NOT(ISNUMBER(D7)),D7&lt;0,D7&gt;1))),"INPUT ERROR",B7-E7))</x:f>
        <x:v>-10</x:v>
      </x:c>
      <x:c r="G7" s="16"/>
    </x:row>
    <x:row r="8" ht="15" hidden="0" customHeight="1">
      <x:c r="A8" s="12" t="s">
        <x:v>30</x:v>
      </x:c>
      <x:c r="B8" s="13" t="n">
        <x:v>120</x:v>
      </x:c>
      <x:c r="C8" s="13" t="n">
        <x:v>50</x:v>
      </x:c>
      <x:c r="D8" s="14" t="n">
        <x:v>0.45</x:v>
      </x:c>
      <x:c r="E8" s="13" t="n">
        <x:v>110</x:v>
      </x:c>
      <x:c r="F8" s="15" t="n">
        <x:f aca="0">IF(COUNTA(A8:E8)=0,"",IF(OR(A8="",COUNT(B8:C8)&lt;&gt;2,NOT(ISNUMBER(E8)),B8&lt;0,C8&lt;0,E8&lt;C8,AND(D8&lt;&gt;"",OR(NOT(ISNUMBER(D8)),D8&lt;0,D8&gt;1))),"INPUT ERROR",B8-E8))</x:f>
        <x:v>10</x:v>
      </x:c>
      <x:c r="G8" s="16"/>
    </x:row>
    <x:row r="9" ht="15" hidden="0" customHeight="1">
      <x:c r="A9" s="12" t="s">
        <x:v>31</x:v>
      </x:c>
      <x:c r="B9" s="13" t="n">
        <x:v>60</x:v>
      </x:c>
      <x:c r="C9" s="13" t="n">
        <x:v>30</x:v>
      </x:c>
      <x:c r="D9" s="14" t="n">
        <x:v>0.55</x:v>
      </x:c>
      <x:c r="E9" s="13" t="n">
        <x:v>55</x:v>
      </x:c>
      <x:c r="F9" s="15" t="n">
        <x:f aca="0">IF(COUNTA(A9:E9)=0,"",IF(OR(A9="",COUNT(B9:C9)&lt;&gt;2,NOT(ISNUMBER(E9)),B9&lt;0,C9&lt;0,E9&lt;C9,AND(D9&lt;&gt;"",OR(NOT(ISNUMBER(D9)),D9&lt;0,D9&gt;1))),"INPUT ERROR",B9-E9))</x:f>
        <x:v>5</x:v>
      </x:c>
      <x:c r="G9" s="16"/>
    </x:row>
    <x:row r="10" ht="15" hidden="0" customHeight="1">
      <x:c r="A10" s="12" t="s">
        <x:v>32</x:v>
      </x:c>
      <x:c r="B10" s="13" t="n">
        <x:v>40</x:v>
      </x:c>
      <x:c r="C10" s="13" t="n">
        <x:v>40</x:v>
      </x:c>
      <x:c r="D10" s="14" t="n">
        <x:v>1</x:v>
      </x:c>
      <x:c r="E10" s="13" t="n">
        <x:v>40</x:v>
      </x:c>
      <x:c r="F10" s="15" t="n">
        <x:f aca="0">IF(COUNTA(A10:E10)=0,"",IF(OR(A10="",COUNT(B10:C10)&lt;&gt;2,NOT(ISNUMBER(E10)),B10&lt;0,C10&lt;0,E10&lt;C10,AND(D10&lt;&gt;"",OR(NOT(ISNUMBER(D10)),D10&lt;0,D10&gt;1))),"INPUT ERROR",B10-E10))</x:f>
        <x:v>0</x:v>
      </x:c>
      <x:c r="G10" s="16"/>
    </x:row>
    <x:row r="11" ht="15" hidden="0" customHeight="1">
      <x:c r="A11" s="12" t="s">
        <x:v>33</x:v>
      </x:c>
      <x:c r="B11" s="13" t="n">
        <x:v>90</x:v>
      </x:c>
      <x:c r="C11" s="13" t="n">
        <x:v>10</x:v>
      </x:c>
      <x:c r="D11" s="14" t="n">
        <x:v>0.1</x:v>
      </x:c>
      <x:c r="E11" s="13" t="n">
        <x:v>85</x:v>
      </x:c>
      <x:c r="F11" s="15" t="n">
        <x:f aca="0">IF(COUNTA(A11:E11)=0,"",IF(OR(A11="",COUNT(B11:C11)&lt;&gt;2,NOT(ISNUMBER(E11)),B11&lt;0,C11&lt;0,E11&lt;C11,AND(D11&lt;&gt;"",OR(NOT(ISNUMBER(D11)),D11&lt;0,D11&gt;1))),"INPUT ERROR",B11-E11))</x:f>
        <x:v>5</x:v>
      </x:c>
      <x:c r="G11" s="16"/>
    </x:row>
    <x:row r="12" ht="15" hidden="0" customHeight="1">
      <x:c r="A12" s="17"/>
      <x:c r="B12" s="17"/>
      <x:c r="C12" s="17"/>
      <x:c r="D12" s="18"/>
      <x:c r="E12" s="17"/>
      <x:c r="F12" s="15" t="str">
        <x:f aca="0">IF(COUNTA(A12:E12)=0,"",IF(OR(A12="",COUNT(B12:C12)&lt;&gt;2,NOT(ISNUMBER(E12)),B12&lt;0,C12&lt;0,E12&lt;C12,AND(D12&lt;&gt;"",OR(NOT(ISNUMBER(D12)),D12&lt;0,D12&gt;1))),"INPUT ERROR",B12-E12))</x:f>
      </x:c>
      <x:c r="G12" s="17"/>
    </x:row>
    <x:row r="13" ht="15" hidden="0" customHeight="1">
      <x:c r="A13" s="17"/>
      <x:c r="B13" s="17"/>
      <x:c r="C13" s="17"/>
      <x:c r="D13" s="18"/>
      <x:c r="E13" s="17"/>
      <x:c r="F13" s="15" t="str">
        <x:f aca="0">IF(COUNTA(A13:E13)=0,"",IF(OR(A13="",COUNT(B13:C13)&lt;&gt;2,NOT(ISNUMBER(E13)),B13&lt;0,C13&lt;0,E13&lt;C13,AND(D13&lt;&gt;"",OR(NOT(ISNUMBER(D13)),D13&lt;0,D13&gt;1))),"INPUT ERROR",B13-E13))</x:f>
      </x:c>
      <x:c r="G13" s="17"/>
    </x:row>
    <x:row r="14" ht="15" hidden="0" customHeight="1">
      <x:c r="A14" s="17"/>
      <x:c r="B14" s="17"/>
      <x:c r="C14" s="17"/>
      <x:c r="D14" s="18"/>
      <x:c r="E14" s="17"/>
      <x:c r="F14" s="15" t="str">
        <x:f aca="0">IF(COUNTA(A14:E14)=0,"",IF(OR(A14="",COUNT(B14:C14)&lt;&gt;2,NOT(ISNUMBER(E14)),B14&lt;0,C14&lt;0,E14&lt;C14,AND(D14&lt;&gt;"",OR(NOT(ISNUMBER(D14)),D14&lt;0,D14&gt;1))),"INPUT ERROR",B14-E14))</x:f>
      </x:c>
      <x:c r="G14" s="17"/>
    </x:row>
    <x:row r="15" ht="15" hidden="0" customHeight="1">
      <x:c r="A15" s="17"/>
      <x:c r="B15" s="17"/>
      <x:c r="C15" s="17"/>
      <x:c r="D15" s="18"/>
      <x:c r="E15" s="17"/>
      <x:c r="F15" s="15" t="str">
        <x:f aca="0">IF(COUNTA(A15:E15)=0,"",IF(OR(A15="",COUNT(B15:C15)&lt;&gt;2,NOT(ISNUMBER(E15)),B15&lt;0,C15&lt;0,E15&lt;C15,AND(D15&lt;&gt;"",OR(NOT(ISNUMBER(D15)),D15&lt;0,D15&gt;1))),"INPUT ERROR",B15-E15))</x:f>
      </x:c>
      <x:c r="G15" s="17"/>
    </x:row>
    <x:row r="16" ht="15" hidden="0" customHeight="1">
      <x:c r="A16" s="17"/>
      <x:c r="B16" s="17"/>
      <x:c r="C16" s="17"/>
      <x:c r="D16" s="18"/>
      <x:c r="E16" s="17"/>
      <x:c r="F16" s="15" t="str">
        <x:f aca="0">IF(COUNTA(A16:E16)=0,"",IF(OR(A16="",COUNT(B16:C16)&lt;&gt;2,NOT(ISNUMBER(E16)),B16&lt;0,C16&lt;0,E16&lt;C16,AND(D16&lt;&gt;"",OR(NOT(ISNUMBER(D16)),D16&lt;0,D16&gt;1))),"INPUT ERROR",B16-E16))</x:f>
      </x:c>
      <x:c r="G16" s="17"/>
    </x:row>
    <x:row r="17" ht="15" hidden="0" customHeight="1">
      <x:c r="A17" s="17"/>
      <x:c r="B17" s="17"/>
      <x:c r="C17" s="17"/>
      <x:c r="D17" s="18"/>
      <x:c r="E17" s="17"/>
      <x:c r="F17" s="15" t="str">
        <x:f aca="0">IF(COUNTA(A17:E17)=0,"",IF(OR(A17="",COUNT(B17:C17)&lt;&gt;2,NOT(ISNUMBER(E17)),B17&lt;0,C17&lt;0,E17&lt;C17,AND(D17&lt;&gt;"",OR(NOT(ISNUMBER(D17)),D17&lt;0,D17&gt;1))),"INPUT ERROR",B17-E17))</x:f>
      </x:c>
      <x:c r="G17" s="17"/>
    </x:row>
    <x:row r="18" ht="15" hidden="0" customHeight="1">
      <x:c r="A18" s="19" t="s">
        <x:v>34</x:v>
      </x:c>
      <x:c r="B18" s="20" t="n">
        <x:f aca="0">IF(COUNTIF(F3:F17,"INPUT ERROR")&gt;0,"INPUT ERROR",SUM(B3:B17))</x:f>
        <x:v>850</x:v>
      </x:c>
      <x:c r="C18" s="20" t="n">
        <x:f aca="0">IF(COUNTIF(F3:F17,"INPUT ERROR")&gt;0,"INPUT ERROR",SUM(C3:C17))</x:f>
        <x:v>513</x:v>
      </x:c>
      <x:c r="D18" s="21"/>
      <x:c r="E18" s="20" t="n">
        <x:f aca="0">IF(COUNTIF(F3:F17,"INPUT ERROR")&gt;0,"INPUT ERROR",SUM(E3:E17))</x:f>
        <x:v>831</x:v>
      </x:c>
      <x:c r="F18" s="20" t="n">
        <x:f aca="0">IF(AND(ISNUMBER(B18),ISNUMBER(E18)),B18-E18,"INPUT ERROR")</x:f>
        <x:v>19</x:v>
      </x:c>
      <x:c r="G18" s="21"/>
    </x:row>
    <x:row r="20" ht="15" hidden="0" customHeight="1">
      <x:c r="A20" s="22" t="s">
        <x:v>35</x:v>
      </x:c>
      <x:c r="B20" s="13" t="n">
        <x:v>40</x:v>
      </x:c>
    </x:row>
    <x:row r="21" ht="15" hidden="0" customHeight="1">
      <x:c r="A21" s="23" t="str">
        <x:v>Net findable (incl. contingency)</x:v>
      </x:c>
      <x:c r="B21" s="24" t="n">
        <x:f aca="0">IF(OR(NOT(ISNUMBER(B18)),NOT(ISNUMBER(E18)),NOT(ISNUMBER(B20)),B20&lt;0),"INPUT ERROR",B18+B20-E18)</x:f>
        <x:v>59</x:v>
      </x:c>
    </x:row>
  </x:sheetData>
  <x:mergeCells>
    <x:mergeCell ref="A1:G1"/>
  </x:mergeCells>
  <x:conditionalFormatting sqref="F3:F18">
    <x:cfRule type="containsText" dxfId="0" priority="1" operator="containsText" text="INPUT ERRO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ColWidth="8.6796875" defaultRowHeight="15"/>
  <x:cols>
    <x:col min="1" max="1" width="48" style="1" hidden="0" customWidth="1"/>
    <x:col min="2" max="2" width="46" style="1" hidden="0" customWidth="1"/>
  </x:cols>
  <x:sheetData>
    <x:row r="1" ht="30" hidden="0" customHeight="1">
      <x:c r="A1" s="10" t="s">
        <x:v>36</x:v>
      </x:c>
      <x:c r="B1" s="10"/>
      <x:c r="C1" s="10"/>
      <x:c r="D1" s="10"/>
    </x:row>
    <x:row r="3" ht="15" hidden="0" customHeight="1">
      <x:c r="A3" s="25" t="s">
        <x:v>37</x:v>
      </x:c>
      <x:c r="B3" s="13" t="n">
        <x:v>45</x:v>
      </x:c>
    </x:row>
    <x:row r="5" ht="15" hidden="0" customHeight="1">
      <x:c r="A5" s="26" t="s">
        <x:v>38</x:v>
      </x:c>
      <x:c r="B5" s="27" t="n">
        <x:f aca="0">IF(ISNUMBER('Effort Ledger'!F18),'Effort Ledger'!F18,"INPUT ERROR")</x:f>
        <x:v>19</x:v>
      </x:c>
    </x:row>
    <x:row r="6" ht="15" hidden="0" customHeight="1">
      <x:c r="A6" s="26" t="s">
        <x:v>39</x:v>
      </x:c>
      <x:c r="B6" s="27" t="n">
        <x:f aca="0">IF(AND(ISNUMBER('Effort Ledger'!B20),'Effort Ledger'!B20&gt;=0),'Effort Ledger'!B20,"INPUT ERROR")</x:f>
        <x:v>40</x:v>
      </x:c>
    </x:row>
    <x:row r="7" ht="15" hidden="0" customHeight="1">
      <x:c r="A7" s="26" t="s">
        <x:v>40</x:v>
      </x:c>
      <x:c r="B7" s="27" t="n">
        <x:f aca="0">'Effort Ledger'!B21</x:f>
        <x:v>59</x:v>
      </x:c>
    </x:row>
    <x:row r="9" ht="15" hidden="0" customHeight="1">
      <x:c r="A9" s="26" t="s">
        <x:v>41</x:v>
      </x:c>
      <x:c r="B9" s="15" t="n">
        <x:f aca="0">IF(OR(NOT(ISNUMBER(B3)),B3&lt;0,NOT(ISNUMBER(B7))),"INPUT ERROR",MAX(0,B3-B7))</x:f>
        <x:v>0</x:v>
      </x:c>
    </x:row>
    <x:row r="10" ht="31.5" hidden="0" customHeight="1">
      <x:c r="A10" s="23" t="s">
        <x:v>42</x:v>
      </x:c>
      <x:c r="B10" s="33" t="str">
        <x:f aca="0">IF(NOT(ISNUMBER(B9)),"Check ledger / request inputs",IF(B9=0,"Absorbable internally - reallocate slack + contingency","Review shortfall of "&amp;TEXT(B9,"0.##")&amp;" h, including existing overruns"))</x:f>
        <x:v>Absorbable internally - reallocate slack + contingency</x:v>
      </x:c>
    </x:row>
    <x:row r="12" ht="15" hidden="0" customHeight="1">
      <x:c r="A12" s="29" t="s">
        <x:v>43</x:v>
      </x:c>
    </x:row>
    <x:row r="13" ht="15" hidden="0" customHeight="1">
      <x:c r="A13" s="30" t="s">
        <x:v>44</x:v>
      </x:c>
    </x:row>
    <x:row r="14" ht="15" hidden="0" customHeight="1">
      <x:c r="A14" s="30" t="s">
        <x:v>45</x:v>
      </x:c>
    </x:row>
    <x:row r="15" ht="15" hidden="0" customHeight="1">
      <x:c r="A15" s="30" t="s">
        <x:v>46</x:v>
      </x:c>
    </x:row>
    <x:row r="16" ht="15" hidden="0" customHeight="1">
      <x:c r="A16" s="30" t="s">
        <x:v>47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ColWidth="8.6796875" defaultRowHeight="15"/>
  <x:cols>
    <x:col min="1" max="1" width="42" style="1" hidden="0" customWidth="1"/>
    <x:col min="2" max="2" width="52" style="1" hidden="0" customWidth="1"/>
  </x:cols>
  <x:sheetData>
    <x:row r="1" ht="30" hidden="0" customHeight="1">
      <x:c r="A1" s="10" t="s">
        <x:v>48</x:v>
      </x:c>
      <x:c r="B1" s="10"/>
      <x:c r="C1" s="10"/>
      <x:c r="D1" s="10"/>
    </x:row>
    <x:row r="3" ht="25.5" hidden="0" customHeight="1">
      <x:c r="A3" s="31" t="s">
        <x:v>49</x:v>
      </x:c>
      <x:c r="B3" s="32"/>
    </x:row>
    <x:row r="4" ht="25.5" hidden="0" customHeight="1">
      <x:c r="A4" s="31" t="s">
        <x:v>50</x:v>
      </x:c>
      <x:c r="B4" s="32"/>
    </x:row>
    <x:row r="5" ht="25.5" hidden="0" customHeight="1">
      <x:c r="A5" s="31" t="s">
        <x:v>51</x:v>
      </x:c>
      <x:c r="B5" s="32"/>
    </x:row>
    <x:row r="6" ht="25.5" hidden="0" customHeight="1">
      <x:c r="A6" s="31" t="s">
        <x:v>52</x:v>
      </x:c>
      <x:c r="B6" s="32"/>
    </x:row>
    <x:row r="7" ht="25.5" hidden="0" customHeight="1">
      <x:c r="A7" s="31" t="s">
        <x:v>53</x:v>
      </x:c>
      <x:c r="B7" s="32"/>
    </x:row>
    <x:row r="8" ht="25.5" hidden="0" customHeight="1">
      <x:c r="A8" s="31" t="s">
        <x:v>54</x:v>
      </x:c>
      <x:c r="B8" s="32"/>
    </x:row>
    <x:row r="9" ht="25.5" hidden="0" customHeight="1">
      <x:c r="A9" s="31" t="s">
        <x:v>55</x:v>
      </x:c>
      <x:c r="B9" s="32"/>
    </x:row>
    <x:row r="10" ht="25.5" hidden="0" customHeight="1">
      <x:c r="A10" s="31" t="s">
        <x:v>56</x:v>
      </x:c>
      <x:c r="B10" s="32"/>
    </x:row>
    <x:row r="11" ht="25.5" hidden="0" customHeight="1">
      <x:c r="A11" s="31" t="s">
        <x:v>57</x:v>
      </x:c>
      <x:c r="B11" s="32"/>
    </x:row>
    <x:row r="12" ht="25.5" hidden="0" customHeight="1">
      <x:c r="A12" s="31" t="s">
        <x:v>58</x:v>
      </x:c>
      <x:c r="B12" s="32"/>
    </x:row>
    <x:row r="13" ht="25.5" hidden="0" customHeight="1">
      <x:c r="A13" s="31" t="s">
        <x:v>59</x:v>
      </x:c>
      <x:c r="B13" s="32"/>
    </x:row>
    <x:row r="14" ht="25.5" hidden="0" customHeight="1">
      <x:c r="A14" s="31" t="s">
        <x:v>60</x:v>
      </x:c>
      <x:c r="B14" s="32"/>
    </x:row>
    <x:row r="15" ht="25.5" hidden="0" customHeight="1">
      <x:c r="A15" s="31" t="s">
        <x:v>61</x:v>
      </x:c>
      <x:c r="B15" s="32"/>
    </x:row>
    <x:row r="16" ht="25.5" hidden="0" customHeight="1">
      <x:c r="A16" s="31" t="s">
        <x:v>62</x:v>
      </x:c>
      <x:c r="B16" s="32"/>
    </x:row>
    <x:row r="17" ht="25.5" hidden="0" customHeight="1">
      <x:c r="A17" s="31" t="s">
        <x:v>63</x:v>
      </x:c>
      <x:c r="B17" s="32"/>
    </x:row>
  </x:sheetData>
  <x:mergeCells>
    <x:mergeCell ref="A1:D1"/>
  </x:mergeCells>
  <x:pageMargins left="0.7" right="0.7" top="0.75" bottom="0.75" header="0.3" footer="0.3"/>
</x:worksheet>
</file>