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3f2b2b94c4f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2975d8874354656"/>
    <x:sheet xmlns:r="http://schemas.openxmlformats.org/officeDocument/2006/relationships" name="Worked Example" sheetId="2" r:id="R16b10c603c8b4724"/>
    <x:sheet xmlns:r="http://schemas.openxmlformats.org/officeDocument/2006/relationships" name="Test Scripts" sheetId="3" r:id="R4e74f546fb9a413d"/>
    <x:sheet xmlns:r="http://schemas.openxmlformats.org/officeDocument/2006/relationships" name="Traceability" sheetId="4" r:id="R04fc110aaa45405e"/>
    <x:sheet xmlns:r="http://schemas.openxmlformats.org/officeDocument/2006/relationships" name="Defect Log" sheetId="5" r:id="R085a1cd6288b41c9"/>
    <x:sheet xmlns:r="http://schemas.openxmlformats.org/officeDocument/2006/relationships" name="Execution Summary" sheetId="6" r:id="R6ca74185b8a84453"/>
  </x:sheets>
</x:workbook>
</file>

<file path=xl/sharedStrings.xml><?xml version="1.0" encoding="utf-8"?>
<x:sst xmlns:x="http://schemas.openxmlformats.org/spreadsheetml/2006/main">
  <x:si>
    <x:t xml:space="preserve">IRT / RTSM User Acceptance Testing  —  how to run this UAT (parallel-group study)</x:t>
  </x:si>
  <x:si>
    <x:t xml:space="preserve">UAT is your confirmation, in a TEST environment, that the vendor's randomization &amp; drug-supply build does exactly what the URS says — before a single real participant is randomized. This workbook is the tool you fill in as you go; the HTML 'UAT guide' walks the full detail with worked test scripts. As the biostatistician you OWN the confirmation that the IRT allocates per your list: right arm, right stratum, right block behavior, concealed until dosing.</x:t>
  </x:si>
  <x:si>
    <x:t xml:space="preserve">The five sheets, in order of use</x:t>
  </x:si>
  <x:si>
    <x:t xml:space="preserve">Before you start — gather these inputs</x:t>
  </x:si>
  <x:si>
    <x:t xml:space="preserve">• Approved URS (the contract of what the system must do).   • Protocol (arms, ratio, stratification factors, block size, unblinding rules).   • Randomization spec + a TEST randomization list loaded in the UAT environment (never the production list).   • Drug-supply spec (kit types, visit-to-kit matrix, resupply thresholds, expiry).   • UAT environment URLs + a test account for EACH role (investigator, unblinded pharmacist/statistician, blinded roles).   • Test sites, test participant IDs, and the input values you'll use (weights for strata, visit dates).</x:t>
  </x:si>
  <x:si>
    <x:t xml:space="preserve">The workflow</x:t>
  </x:si>
  <x:si>
    <x:t xml:space="preserve">Derive test cases from the URS. Each requirement → ≥1 positive test (does the right thing), ≥1 negative test (blocks the wrong thing), and a boundary test where a value sits on the edge of a rule (block edge, exact stratum cut-point, expiry today).</x:t>
  </x:si>
  <x:si>
    <x:t xml:space="preserve">Write each test so it is executable — a specific, verifiable expected result, not 'works correctly'. See the Worked Example sheet for the 6-part anatomy: precondition, test data, steps, expected, actual, evidence.</x:t>
  </x:si>
  <x:si>
    <x:t xml:space="preserve">Dry-run the scripts once yourself to catch bad test data / a not-ready environment. Fix the scripts, not the results.</x:t>
  </x:si>
  <x:si>
    <x:t xml:space="preserve">Execute formally. For each test fill: Actual, Status (Pass/Fail/Blocked/Not Run), Tester, Date — and capture a dated SCREENSHOT as evidence. 'Blocked' (environment not ready) is not a defect.</x:t>
  </x:si>
  <x:si>
    <x:t xml:space="preserve">Reconcile IRT allocations against the test list yourself — a sample across EVERY stratum, both arms of the ratio, and block boundaries. This is the biostatistician's job and the most common place IRT builds fail.</x:t>
  </x:si>
  <x:si>
    <x:t xml:space="preserve">Log every Fail on the Defect Log with a severity (see below); put the Defect ID back on the failed test row. Vendor fixes → you RETEST on the new build → REGRESSION-test anything the change could have touched. Record the build version.</x:t>
  </x:si>
  <x:si>
    <x:t xml:space="preserve">Close traceability: every URS requirement has an executed test (the Traceability sheet auto-flags any gap).</x:t>
  </x:si>
  <x:si>
    <x:t xml:space="preserve">Defect severity — drives whether it blocks go-live</x:t>
  </x:si>
  <x:si>
    <x:t xml:space="preserve">CRITICAL — could compromise participant safety, break the blind, mis-randomize, mis-dose, or corrupt randomization/supply integrity (wrong stratum, duplicate rand number, expired kit dispensable, blinded role sees the arm). BLOCKS go-live.</x:t>
  </x:si>
  <x:si>
    <x:t xml:space="preserve">MAJOR — significant functional error in a key workflow, not directly safety/integrity (resupply not triggering, wrong kit type for a visit, safety notification not sent). Blocks go-live until fixed.</x:t>
  </x:si>
  <x:si>
    <x:t xml:space="preserve">MINOR — cosmetic / non-functional (notification subject omits site number, a label typo). Does not block; fix or waive with rationale.</x:t>
  </x:si>
  <x:si>
    <x:t xml:space="preserve">How this connects to your real systems</x:t>
  </x:si>
  <x:si>
    <x:t xml:space="preserve">100% synthetic test data. No PHI. 'Participant', not 'subject' (CDISC USUBJID/SUBJID preserved). Full worked detail: the 'UAT guide' HTML next to this file.</x:t>
  </x:si>
  <x:si>
    <x:t xml:space="preserve">Worked Example — what a good, executable test script looks like</x:t>
  </x:si>
  <x:si>
    <x:t xml:space="preserve">Copy this shape into the Test Scripts sheet. The point: a specific, verifiable Expected result that a tester can objectively pass or fail — and, for randomization, a reconciliation you (the biostatistician) perform against the test list.</x:t>
  </x:si>
  <x:si>
    <x:t xml:space="preserve">Field</x:t>
  </x:si>
  <x:si>
    <x:t xml:space="preserve">Example A — RAND-02 (stratified allocation)</x:t>
  </x:si>
  <x:si>
    <x:t xml:space="preserve">Example B — UNBL-01 (emergency unblinding)</x:t>
  </x:si>
  <x:si>
    <x:t xml:space="preserve">Test ID / URS</x:t>
  </x:si>
  <x:si>
    <x:t xml:space="preserve">RAND-02  ·  URS-RND-02 (allocate within entered stratum; factor = weight &lt;70 / ≥70 kg; 2:1 active:placebo; block 6)</x:t>
  </x:si>
  <x:si>
    <x:t xml:space="preserve">UNBL-01  ·  URS-UNB-01 (authorized role can break the blind for one participant; event is logged; participant is flagged)</x:t>
  </x:si>
  <x:si>
    <x:t xml:space="preserve">Priority</x:t>
  </x:si>
  <x:si>
    <x:t xml:space="preserve">Critical</x:t>
  </x:si>
  <x:si>
    <x:t xml:space="preserve">Precondition</x:t>
  </x:si>
  <x:si>
    <x:t xml:space="preserve">Test randomization list loaded in UAT; &lt;70 kg stratum block 1 has an unused slot; you know the next expected list entry (as an authorized unblinded role).</x:t>
  </x:si>
  <x:si>
    <x:t xml:space="preserve">A randomized test participant exists (e.g. 101-001); you are logged in with the unblinding-authorized role; the participant is not yet unblinded.</x:t>
  </x:si>
  <x:si>
    <x:t xml:space="preserve">Test data</x:t>
  </x:si>
  <x:si>
    <x:t xml:space="preserve">Participant 101-001, Site 101, screening weight 68.0 kg.</x:t>
  </x:si>
  <x:si>
    <x:t xml:space="preserve">Participant 101-001; reason = 'medical emergency'.</x:t>
  </x:si>
  <x:si>
    <x:t xml:space="preserve">Steps</x:t>
  </x:si>
  <x:si>
    <x:t xml:space="preserve">1. Log in as Investigator at Site 101.  2. Register 101-001; enter weight 68.0 kg.  3. Click Randomize.  4. Record the returned kit number + confirmation.  5. Log in as authorized unblinded statistician; open the allocation report for 101-001.</x:t>
  </x:si>
  <x:si>
    <x:t xml:space="preserve">1. Open 101-001.  2. Invoke emergency unblind; enter reason.  3. Confirm.  4. Check the audit trail and the participant's status.  5. Log in as a BLINDED role and confirm the arm is still not visible to them.</x:t>
  </x:si>
  <x:si>
    <x:t xml:space="preserve">Expected result</x:t>
  </x:si>
  <x:si>
    <x:t xml:space="preserve">101-001 is allocated to the NEXT UNUSED entry in the &lt;70 kg stratum, block 1 of the test list — matching arm, sequence, and kit number. The investigator confirmation shows a KIT ID only, not the arm. The allocation report row == the list row.</x:t>
  </x:si>
  <x:si>
    <x:t xml:space="preserve">The treatment arm is revealed to the authorized role only. The unblinding is written to the audit trail (who, when, reason). The participant is flagged as unblinded. A BLINDED role still cannot see the arm. Any required safety notification fires.</x:t>
  </x:si>
  <x:si>
    <x:t xml:space="preserve">How you verify</x:t>
  </x:si>
  <x:si>
    <x:t xml:space="preserve">Put the test list next to the IRT allocation report; confirm cell-for-cell: stratum, block position, arm, kit number. Repeat across every stratum, both arms of the 2:1 ratio, and block boundaries — not one happy-path participant.</x:t>
  </x:si>
  <x:si>
    <x:t xml:space="preserve">Inspect the audit-trail entry and the participant flag directly; confirm the blinded-role view is unchanged; confirm the notification was sent.</x:t>
  </x:si>
  <x:si>
    <x:t xml:space="preserve">Actual (filled at run)</x:t>
  </x:si>
  <x:si>
    <x:t xml:space="preserve">101-001 → &lt;70 kg, block 1, position 3, Arm A, kit K-1043. Confirmation showed kit K-1043 only. Report row == list row. ✔</x:t>
  </x:si>
  <x:si>
    <x:t xml:space="preserve">Arm revealed to unblinded role; audit entry present (user, timestamp, reason); participant flagged; blinded view unchanged; notification sent. ✔</x:t>
  </x:si>
  <x:si>
    <x:t xml:space="preserve">Status / evidence</x:t>
  </x:si>
  <x:si>
    <x:t xml:space="preserve">PASS — screenshot uat_rand02_2026-07-10.png attached.</x:t>
  </x:si>
  <x:si>
    <x:t xml:space="preserve">PASS — screenshot uat_unbl01_2026-07-10.png + audit-trail export attached.</x:t>
  </x:si>
  <x:si>
    <x:t xml:space="preserve">If it FAILED</x:t>
  </x:si>
  <x:si>
    <x:t xml:space="preserve">Raise a Critical defect on the Defect Log (e.g. 'allocated from ≥70 kg list'), put the Defect ID on this test row, retest on the vendor's fix build, then regression-test all allocation tests.</x:t>
  </x:si>
  <x:si>
    <x:t xml:space="preserve">Raise a Critical defect (e.g. 'blinded role can see arm after unblind' or 'no audit entry'), retest on the fix build, regression-test the unblinding + notification tests.</x:t>
  </x:si>
  <x:si>
    <x:t xml:space="preserve">Test Scripts — execute each, then fill the yellow columns</x:t>
  </x:si>
  <x:si>
    <x:t xml:space="preserve">Test ID</x:t>
  </x:si>
  <x:si>
    <x:t xml:space="preserve">Area</x:t>
  </x:si>
  <x:si>
    <x:t xml:space="preserve">URS Req</x:t>
  </x:si>
  <x:si>
    <x:t xml:space="preserve">Test Title</x:t>
  </x:si>
  <x:si>
    <x:t xml:space="preserve">Expected Result</x:t>
  </x:si>
  <x:si>
    <x:t xml:space="preserve">Actual Result</x:t>
  </x:si>
  <x:si>
    <x:t xml:space="preserve">Status</x:t>
  </x:si>
  <x:si>
    <x:t xml:space="preserve">Tester</x:t>
  </x:si>
  <x:si>
    <x:t xml:space="preserve">Date</x:t>
  </x:si>
  <x:si>
    <x:t xml:space="preserve">Defect ID</x:t>
  </x:si>
  <x:si>
    <x:t xml:space="preserve">Comments</x:t>
  </x:si>
  <x:si>
    <x:t xml:space="preserve">RAND-01</x:t>
  </x:si>
  <x:si>
    <x:t xml:space="preserve">Randomization</x:t>
  </x:si>
  <x:si>
    <x:t xml:space="preserve">URS-RND-01</x:t>
  </x:si>
  <x:si>
    <x:t xml:space="preserve">Allocation matches the approved schedule</x:t>
  </x:si>
  <x:si>
    <x:t xml:space="preserve">Randomize test participants; export IRT allocation.</x:t>
  </x:si>
  <x:si>
    <x:t xml:space="preserve">IRT allocation == approved randomization list (arm, kit, stratum) for all.</x:t>
  </x:si>
  <x:si>
    <x:t xml:space="preserve">RAND-02</x:t>
  </x:si>
  <x:si>
    <x:t xml:space="preserve">URS-RND-02</x:t>
  </x:si>
  <x:si>
    <x:t xml:space="preserve">Stratified allocation respects entered strata</x:t>
  </x:si>
  <x:si>
    <x:t xml:space="preserve">Randomize across each stratification factor (e.g. site, factor).</x:t>
  </x:si>
  <x:si>
    <x:t xml:space="preserve">Each participant allocated within the stratum entered.</x:t>
  </x:si>
  <x:si>
    <x:t xml:space="preserve">RAND-03</x:t>
  </x:si>
  <x:si>
    <x:t xml:space="preserve">URS-RND-03</x:t>
  </x:si>
  <x:si>
    <x:t xml:space="preserve">High</x:t>
  </x:si>
  <x:si>
    <x:t xml:space="preserve">Allocation ratio honoured</x:t>
  </x:si>
  <x:si>
    <x:t xml:space="preserve">Randomize a block; check active:control ratio (e.g. 2:1).</x:t>
  </x:si>
  <x:si>
    <x:t xml:space="preserve">Realised ratio matches the protocol allocation ratio.</x:t>
  </x:si>
  <x:si>
    <x:t xml:space="preserve">RAND-04</x:t>
  </x:si>
  <x:si>
    <x:t xml:space="preserve">URS-RND-04</x:t>
  </x:si>
  <x:si>
    <x:t xml:space="preserve">Within-block balance / block integrity</x:t>
  </x:si>
  <x:si>
    <x:t xml:space="preserve">Inspect allocation within each permuted block.</x:t>
  </x:si>
  <x:si>
    <x:t xml:space="preserve">Within-block balance matches block size/ratio in the list.</x:t>
  </x:si>
  <x:si>
    <x:t xml:space="preserve">RAND-05</x:t>
  </x:si>
  <x:si>
    <x:t xml:space="preserve">URS-RND-05</x:t>
  </x:si>
  <x:si>
    <x:t xml:space="preserve">Unique randomization number</x:t>
  </x:si>
  <x:si>
    <x:t xml:space="preserve">Two sites randomize concurrently.</x:t>
  </x:si>
  <x:si>
    <x:t xml:space="preserve">Each participant gets a unique randomization number; no collision.</x:t>
  </x:si>
  <x:si>
    <x:t xml:space="preserve">RAND-06</x:t>
  </x:si>
  <x:si>
    <x:t xml:space="preserve">URS-RND-06</x:t>
  </x:si>
  <x:si>
    <x:t xml:space="preserve">Allocation concealment until dosing</x:t>
  </x:si>
  <x:si>
    <x:t xml:space="preserve">View a participant as a blinded role before dosing.</x:t>
  </x:si>
  <x:si>
    <x:t xml:space="preserve">Treatment concealed; blinded role sees a kit ID only.</x:t>
  </x:si>
  <x:si>
    <x:t xml:space="preserve">RAND-07</x:t>
  </x:si>
  <x:si>
    <x:t xml:space="preserve">URS-RND-07</x:t>
  </x:si>
  <x:si>
    <x:t xml:space="preserve">Reproducible from the frozen list</x:t>
  </x:si>
  <x:si>
    <x:t xml:space="preserve">Reload the frozen list; re-run allocation.</x:t>
  </x:si>
  <x:si>
    <x:t xml:space="preserve">Allocation is reproducible.</x:t>
  </x:si>
  <x:si>
    <x:t xml:space="preserve">ENR-01</x:t>
  </x:si>
  <x:si>
    <x:t xml:space="preserve">Enrollment / screening</x:t>
  </x:si>
  <x:si>
    <x:t xml:space="preserve">URS-ENR-01</x:t>
  </x:si>
  <x:si>
    <x:t xml:space="preserve">Medium</x:t>
  </x:si>
  <x:si>
    <x:t xml:space="preserve">Unique screening numbers</x:t>
  </x:si>
  <x:si>
    <x:t xml:space="preserve">Screen several participants.</x:t>
  </x:si>
  <x:si>
    <x:t xml:space="preserve">Unique, sequential screening numbers.</x:t>
  </x:si>
  <x:si>
    <x:t xml:space="preserve">ENR-02</x:t>
  </x:si>
  <x:si>
    <x:t xml:space="preserve">URS-ENR-02</x:t>
  </x:si>
  <x:si>
    <x:t xml:space="preserve">Screen-fail cannot randomize</x:t>
  </x:si>
  <x:si>
    <x:t xml:space="preserve">Mark a participant screen-fail; attempt to randomize.</x:t>
  </x:si>
  <x:si>
    <x:t xml:space="preserve">Randomization blocked.</x:t>
  </x:si>
  <x:si>
    <x:t xml:space="preserve">ENR-03</x:t>
  </x:si>
  <x:si>
    <x:t xml:space="preserve">URS-ENR-03</x:t>
  </x:si>
  <x:si>
    <x:t xml:space="preserve">Re-screening permitted per protocol</x:t>
  </x:si>
  <x:si>
    <x:t xml:space="preserve">Re-screen a permitted screen-fail.</x:t>
  </x:si>
  <x:si>
    <x:t xml:space="preserve">Re-screening allowed with a new screening number.</x:t>
  </x:si>
  <x:si>
    <x:t xml:space="preserve">ENR-04</x:t>
  </x:si>
  <x:si>
    <x:t xml:space="preserve">URS-ENR-04</x:t>
  </x:si>
  <x:si>
    <x:t xml:space="preserve">Enrollment cap enforced</x:t>
  </x:si>
  <x:si>
    <x:t xml:space="preserve">Enroll to the study cap + 1.</x:t>
  </x:si>
  <x:si>
    <x:t xml:space="preserve">Enrollment blocked at the study cap.</x:t>
  </x:si>
  <x:si>
    <x:t xml:space="preserve">DISP-01</x:t>
  </x:si>
  <x:si>
    <x:t xml:space="preserve">Drug dispensing</x:t>
  </x:si>
  <x:si>
    <x:t xml:space="preserve">URS-DSP-01</x:t>
  </x:si>
  <x:si>
    <x:t xml:space="preserve">Dispensed kit matches allocated arm</x:t>
  </x:si>
  <x:si>
    <x:t xml:space="preserve">Dispense at Day 1; compare kit to allocation.</x:t>
  </x:si>
  <x:si>
    <x:t xml:space="preserve">Dispensed kit matches the allocated arm.</x:t>
  </x:si>
  <x:si>
    <x:t xml:space="preserve">DISP-02</x:t>
  </x:si>
  <x:si>
    <x:t xml:space="preserve">URS-DSP-02</x:t>
  </x:si>
  <x:si>
    <x:t xml:space="preserve">Correct kit type per visit</x:t>
  </x:si>
  <x:si>
    <x:t xml:space="preserve">Dispense across visits with differing kit types.</x:t>
  </x:si>
  <x:si>
    <x:t xml:space="preserve">Correct kit type per visit per the supply matrix.</x:t>
  </x:si>
  <x:si>
    <x:t xml:space="preserve">DISP-03</x:t>
  </x:si>
  <x:si>
    <x:t xml:space="preserve">URS-DSP-03</x:t>
  </x:si>
  <x:si>
    <x:t xml:space="preserve">Dispensing blocked outside visit window</x:t>
  </x:si>
  <x:si>
    <x:t xml:space="preserve">Attempt dispensing outside the visit window.</x:t>
  </x:si>
  <x:si>
    <x:t xml:space="preserve">Dispensing blocked / warned outside the window.</x:t>
  </x:si>
  <x:si>
    <x:t xml:space="preserve">DISP-04</x:t>
  </x:si>
  <x:si>
    <x:t xml:space="preserve">URS-DSP-04</x:t>
  </x:si>
  <x:si>
    <x:t xml:space="preserve">Dispensing reconciles to dosing</x:t>
  </x:si>
  <x:si>
    <x:t xml:space="preserve">Reconcile dispensing records to dosing.</x:t>
  </x:si>
  <x:si>
    <x:t xml:space="preserve">Records reconcile to dosing events.</x:t>
  </x:si>
  <x:si>
    <x:t xml:space="preserve">DISP-05</x:t>
  </x:si>
  <x:si>
    <x:t xml:space="preserve">URS-DSP-05</x:t>
  </x:si>
  <x:si>
    <x:t xml:space="preserve">Blinded kit labeling</x:t>
  </x:si>
  <x:si>
    <x:t xml:space="preserve">Inspect kit label as a blinded role.</x:t>
  </x:si>
  <x:si>
    <x:t xml:space="preserve">Label reveals no treatment arm; kit ID only.</x:t>
  </x:si>
  <x:si>
    <x:t xml:space="preserve">SUP-01</x:t>
  </x:si>
  <x:si>
    <x:t xml:space="preserve">Resupply / inventory</x:t>
  </x:si>
  <x:si>
    <x:t xml:space="preserve">URS-SUP-01</x:t>
  </x:si>
  <x:si>
    <x:t xml:space="preserve">Resupply triggered at threshold</x:t>
  </x:si>
  <x:si>
    <x:t xml:space="preserve">Draw site stock below the resupply threshold.</x:t>
  </x:si>
  <x:si>
    <x:t xml:space="preserve">Automatic resupply shipment triggered.</x:t>
  </x:si>
  <x:si>
    <x:t xml:space="preserve">SUP-02</x:t>
  </x:si>
  <x:si>
    <x:t xml:space="preserve">URS-SUP-02</x:t>
  </x:si>
  <x:si>
    <x:t xml:space="preserve">Expired kits not dispensable</x:t>
  </x:si>
  <x:si>
    <x:t xml:space="preserve">Attempt to dispense an expired kit.</x:t>
  </x:si>
  <x:si>
    <x:t xml:space="preserve">Expired kits are not dispensable.</x:t>
  </x:si>
  <x:si>
    <x:t xml:space="preserve">SUP-03</x:t>
  </x:si>
  <x:si>
    <x:t xml:space="preserve">URS-SUP-03</x:t>
  </x:si>
  <x:si>
    <x:t xml:space="preserve">Temperature-excursion kits quarantined</x:t>
  </x:si>
  <x:si>
    <x:t xml:space="preserve">Flag a temperature excursion; attempt to dispense.</x:t>
  </x:si>
  <x:si>
    <x:t xml:space="preserve">Excursion kits quarantined; not dispensable until released.</x:t>
  </x:si>
  <x:si>
    <x:t xml:space="preserve">SUP-04</x:t>
  </x:si>
  <x:si>
    <x:t xml:space="preserve">URS-SUP-04</x:t>
  </x:si>
  <x:si>
    <x:t xml:space="preserve">Inventory reconciliation</x:t>
  </x:si>
  <x:si>
    <x:t xml:space="preserve">Reconcile IRT inventory to a physical count.</x:t>
  </x:si>
  <x:si>
    <x:t xml:space="preserve">Inventory reconciles.</x:t>
  </x:si>
  <x:si>
    <x:t xml:space="preserve">UNBL-01</x:t>
  </x:si>
  <x:si>
    <x:t xml:space="preserve">Emergency unblinding</x:t>
  </x:si>
  <x:si>
    <x:t xml:space="preserve">URS-UNB-01</x:t>
  </x:si>
  <x:si>
    <x:t xml:space="preserve">Emergency unblind with audit trail</x:t>
  </x:si>
  <x:si>
    <x:t xml:space="preserve">Perform an emergency unblind as an authorized role.</x:t>
  </x:si>
  <x:si>
    <x:t xml:space="preserve">Treatment revealed; full audit trail (who/when/why).</x:t>
  </x:si>
  <x:si>
    <x:t xml:space="preserve">UNBL-02</x:t>
  </x:si>
  <x:si>
    <x:t xml:space="preserve">URS-UNB-02</x:t>
  </x:si>
  <x:si>
    <x:t xml:space="preserve">Unblinding role permissions</x:t>
  </x:si>
  <x:si>
    <x:t xml:space="preserve">Attempt to unblind as an unauthorized role.</x:t>
  </x:si>
  <x:si>
    <x:t xml:space="preserve">Unblinding denied for unauthorized roles.</x:t>
  </x:si>
  <x:si>
    <x:t xml:space="preserve">UNBL-03</x:t>
  </x:si>
  <x:si>
    <x:t xml:space="preserve">URS-UNB-03</x:t>
  </x:si>
  <x:si>
    <x:t xml:space="preserve">Post-unblind safety notification</x:t>
  </x:si>
  <x:si>
    <x:t xml:space="preserve">After unblind, verify the safety notification.</x:t>
  </x:si>
  <x:si>
    <x:t xml:space="preserve">Notification sent to the medical monitor / safety.</x:t>
  </x:si>
  <x:si>
    <x:t xml:space="preserve">NOT-01</x:t>
  </x:si>
  <x:si>
    <x:t xml:space="preserve">Notifications / reports</x:t>
  </x:si>
  <x:si>
    <x:t xml:space="preserve">URS-NOT-01</x:t>
  </x:si>
  <x:si>
    <x:t xml:space="preserve">Enrollment notification delivered</x:t>
  </x:si>
  <x:si>
    <x:t xml:space="preserve">Randomize a participant; check enrollment notification.</x:t>
  </x:si>
  <x:si>
    <x:t xml:space="preserve">Notification delivered to the distribution list.</x:t>
  </x:si>
  <x:si>
    <x:t xml:space="preserve">NOT-02</x:t>
  </x:si>
  <x:si>
    <x:t xml:space="preserve">URS-NOT-02</x:t>
  </x:si>
  <x:si>
    <x:t xml:space="preserve">Low-stock alert delivered</x:t>
  </x:si>
  <x:si>
    <x:t xml:space="preserve">Draw stock below threshold; check the alert.</x:t>
  </x:si>
  <x:si>
    <x:t xml:space="preserve">Low-stock alert delivered to the CRA.</x:t>
  </x:si>
  <x:si>
    <x:t xml:space="preserve">INT-01</x:t>
  </x:si>
  <x:si>
    <x:t xml:space="preserve">Data integration (EDC)</x:t>
  </x:si>
  <x:si>
    <x:t xml:space="preserve">URS-INT-01</x:t>
  </x:si>
  <x:si>
    <x:t xml:space="preserve">IRT&lt;-&gt;EDC participant reconciliation</x:t>
  </x:si>
  <x:si>
    <x:t xml:space="preserve">Reconcile IRT participants against EDC.</x:t>
  </x:si>
  <x:si>
    <x:t xml:space="preserve">IRT and EDC participant lists reconcile.</x:t>
  </x:si>
  <x:si>
    <x:t xml:space="preserve">INT-02</x:t>
  </x:si>
  <x:si>
    <x:t xml:space="preserve">URS-INT-02</x:t>
  </x:si>
  <x:si>
    <x:t xml:space="preserve">Randomization data transfer to biostat</x:t>
  </x:si>
  <x:si>
    <x:t xml:space="preserve">Transfer randomization data to biostatistics.</x:t>
  </x:si>
  <x:si>
    <x:t xml:space="preserve">Export matches the IRT allocation (per role).</x:t>
  </x:si>
  <x:si>
    <x:t xml:space="preserve">Requirement Traceability — every URS requirement needs a test</x:t>
  </x:si>
  <x:si>
    <x:t xml:space="preserve">Requirement description</x:t>
  </x:si>
  <x:si>
    <x:t xml:space="preserve"># Tests (auto)</x:t>
  </x:si>
  <x:si>
    <x:t xml:space="preserve">Covered (auto)</x:t>
  </x:si>
  <x:si>
    <x:t xml:space="preserve">Defect Log — raise every failed test here</x:t>
  </x:si>
  <x:si>
    <x:t xml:space="preserve">Severity</x:t>
  </x:si>
  <x:si>
    <x:t xml:space="preserve">Found in Test</x:t>
  </x:si>
  <x:si>
    <x:t xml:space="preserve">Description</x:t>
  </x:si>
  <x:si>
    <x:t xml:space="preserve">Date Raised</x:t>
  </x:si>
  <x:si>
    <x:t xml:space="preserve">Resolution</x:t>
  </x:si>
  <x:si>
    <x:t xml:space="preserve">Execution</x:t>
  </x:si>
  <x:si>
    <x:t xml:space="preserve">Total tests</x:t>
  </x:si>
  <x:si>
    <x:t xml:space="preserve">Passed</x:t>
  </x:si>
  <x:si>
    <x:t xml:space="preserve">Failed</x:t>
  </x:si>
  <x:si>
    <x:t xml:space="preserve">Blocked</x:t>
  </x:si>
  <x:si>
    <x:t xml:space="preserve">In Progress</x:t>
  </x:si>
  <x:si>
    <x:t xml:space="preserve">Not run</x:t>
  </x:si>
  <x:si>
    <x:t xml:space="preserve">Pass rate (of executed)</x:t>
  </x:si>
  <x:si>
    <x:t xml:space="preserve">Critical tests not yet passing</x:t>
  </x:si>
  <x:si>
    <x:t xml:space="preserve">Requirements without a test</x:t>
  </x:si>
  <x:si>
    <x:t xml:space="preserve">Tester — name</x:t>
  </x:si>
  <x:si>
    <x:t xml:space="preserve">Tester — date</x:t>
  </x:si>
  <x:si>
    <x:t xml:space="preserve">Biostatistician — name</x:t>
  </x:si>
  <x:si>
    <x:t xml:space="preserve">Biostatistician — date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</x:si>
</x:sst>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0.0%"/>
  </x:numFmts>
  <x:fonts count="18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mbria"/>
    </x:font>
    <x:font>
      <x:b/>
      <x:sz val="15"/>
      <x:color rgb="FF1F2A44"/>
      <x:name val="Cambria"/>
    </x:font>
    <x:font>
      <x:sz val="10.5"/>
      <x:color rgb="FF222222"/>
      <x:name val="Cambria"/>
    </x:font>
    <x:font>
      <x:b/>
      <x:sz val="11.5"/>
      <x:color rgb="FFFFFFFF"/>
      <x:name val="Cambria"/>
    </x:font>
    <x:font>
      <x:b/>
      <x:sz val="11"/>
      <x:color rgb="FFFFFFFF"/>
      <x:name val="Cambria"/>
    </x:font>
    <x:font>
      <x:i/>
      <x:sz val="10"/>
      <x:color rgb="FF595959"/>
      <x:name val="Cambria"/>
    </x:font>
    <x:font>
      <x:b/>
      <x:sz val="10"/>
      <x:color rgb="FF1F2A44"/>
      <x:name val="Cambria"/>
    </x:font>
    <x:font>
      <x:b/>
      <x:sz val="15"/>
      <x:color rgb="FFFFFFFF"/>
      <x:name val="Arial"/>
    </x:font>
    <x:font>
      <x:b/>
      <x:sz val="11"/>
      <x:color rgb="FFFFFFFF"/>
      <x:name val="Arial"/>
    </x:font>
    <x:font>
      <x:sz val="10"/>
      <x:name val="Arial"/>
    </x:font>
    <x:font>
      <x:sz val="10"/>
      <x:color rgb="FF000000"/>
      <x:name val="Arial"/>
    </x:font>
    <x:font>
      <x:b/>
      <x:sz val="12"/>
      <x:color rgb="FF1F3864"/>
      <x:name val="Arial"/>
    </x:font>
    <x:font>
      <x:b/>
      <x:sz val="12"/>
      <x:name val="Arial"/>
    </x:font>
    <x:font>
      <x:i/>
      <x:sz val="9"/>
      <x:color rgb="FF80808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D9E1F2"/>
      </x:patternFill>
    </x:fill>
    <x:fill>
      <x:patternFill patternType="solid">
        <x:fgColor rgb="FF0B1020"/>
      </x:patternFill>
    </x:fill>
    <x:fill>
      <x:patternFill patternType="solid">
        <x:fgColor rgb="FF1F3864"/>
      </x:patternFill>
    </x:fill>
    <x:fill>
      <x:patternFill patternType="solid">
        <x:fgColor rgb="FFFFF2CC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1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1" applyProtection="0">
      <x:alignment horizontal="general" vertical="center" wrapText="0" shrinkToFit="0"/>
      <x:protection locked="1" hidden="0"/>
    </x:xf>
    <x:xf numFmtId="164" fontId="5" fillId="0" borderId="0" xfId="0" applyFont="1" applyBorder="0" applyAlignment="1" applyProtection="0">
      <x:alignment horizontal="general" vertical="center" wrapText="1" shrinkToFit="0"/>
      <x:protection locked="1" hidden="0"/>
    </x:xf>
    <x:xf numFmtId="164" fontId="4" fillId="0" borderId="0" xfId="0" applyFont="1" applyBorder="0" applyAlignment="1" applyProtection="0">
      <x:alignment horizontal="general" vertical="bottom" wrapText="0" shrinkToFit="0"/>
      <x:protection locked="1" hidden="0"/>
    </x:xf>
    <x:xf numFmtId="164" fontId="6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7" fillId="2" borderId="0" xfId="0" applyFont="1" applyBorder="0" applyAlignment="1" applyProtection="0">
      <x:alignment horizontal="general" vertical="center" wrapText="1" shrinkToFit="0"/>
      <x:protection locked="1" hidden="0"/>
    </x:xf>
    <x:xf numFmtId="164" fontId="8" fillId="2" borderId="0" xfId="0" applyFont="1" applyBorder="0" applyAlignment="1" applyProtection="0">
      <x:alignment horizontal="center" vertical="center" wrapText="0" shrinkToFit="0"/>
      <x:protection locked="1" hidden="0"/>
    </x:xf>
    <x:xf numFmtId="164" fontId="9" fillId="0" borderId="0" xfId="0" applyFont="1" applyBorder="0" applyAlignment="1" applyProtection="0">
      <x:alignment horizontal="general" vertical="top" wrapText="1" shrinkToFit="0"/>
      <x:protection locked="1" hidden="0"/>
    </x:xf>
    <x:xf numFmtId="164" fontId="5" fillId="0" borderId="0" xfId="0" applyFont="1" applyBorder="1" applyAlignment="1" applyProtection="0">
      <x:alignment horizontal="general" vertical="center" wrapText="1" shrinkToFit="0"/>
      <x:protection locked="1" hidden="0"/>
    </x:xf>
    <x:xf numFmtId="164" fontId="6" fillId="0" borderId="0" xfId="0" applyFont="1" applyBorder="1" applyAlignment="1" applyProtection="0">
      <x:alignment horizontal="general" vertical="top" wrapText="1" shrinkToFit="0"/>
      <x:protection locked="1" hidden="0"/>
    </x:xf>
    <x:xf numFmtId="164" fontId="7" fillId="2" borderId="0" xfId="0" applyFont="1" applyBorder="0" applyAlignment="1" applyProtection="0">
      <x:alignment horizontal="left" vertical="center" wrapText="1" shrinkToFit="0"/>
      <x:protection locked="1" hidden="0"/>
    </x:xf>
    <x:xf numFmtId="164" fontId="10" fillId="3" borderId="1" xfId="0" applyFont="1" applyBorder="1" applyAlignment="1" applyProtection="0">
      <x:alignment horizontal="general" vertical="top" wrapText="1" shrinkToFit="0"/>
      <x:protection locked="1" hidden="0"/>
    </x:xf>
    <x:xf numFmtId="164" fontId="6" fillId="0" borderId="1" xfId="0" applyFont="1" applyBorder="1" applyAlignment="1" applyProtection="0">
      <x:alignment horizontal="general" vertical="top" wrapText="1" shrinkToFit="0"/>
      <x:protection locked="1" hidden="0"/>
    </x:xf>
    <x:xf numFmtId="164" fontId="11" fillId="4" borderId="0" xfId="0" applyFont="1" applyBorder="1" applyAlignment="1" applyProtection="0">
      <x:alignment horizontal="general" vertical="center" wrapText="0" shrinkToFit="0"/>
      <x:protection locked="1" hidden="0"/>
    </x:xf>
    <x:xf numFmtId="164" fontId="12" fillId="5" borderId="1" xfId="0" applyFont="1" applyBorder="1" applyAlignment="1" applyProtection="0">
      <x:alignment horizontal="general" vertical="center" wrapText="1" shrinkToFit="0"/>
      <x:protection locked="1" hidden="0"/>
    </x:xf>
    <x:xf numFmtId="164" fontId="13" fillId="0" borderId="1" xfId="0" applyFont="1" applyBorder="1" applyAlignment="1" applyProtection="0">
      <x:alignment horizontal="general" vertical="top" wrapText="1" shrinkToFit="0"/>
      <x:protection locked="1" hidden="0"/>
    </x:xf>
    <x:xf numFmtId="164" fontId="13" fillId="6" borderId="1" xfId="0" applyFont="1" applyBorder="1" applyAlignment="1" applyProtection="0">
      <x:alignment horizontal="general" vertical="top" wrapText="1" shrinkToFit="0"/>
      <x:protection locked="1" hidden="0"/>
    </x:xf>
    <x:xf numFmtId="164" fontId="13" fillId="0" borderId="1" xfId="0" applyFont="1" applyBorder="1" applyAlignment="1" applyProtection="0">
      <x:alignment horizontal="general" vertical="bottom" wrapText="0" shrinkToFit="0"/>
      <x:protection locked="1" hidden="0"/>
    </x:xf>
    <x:xf numFmtId="164" fontId="14" fillId="0" borderId="1" xfId="0" applyFont="1" applyBorder="1" applyAlignment="1" applyProtection="0">
      <x:alignment horizontal="center" vertical="center" wrapText="0" shrinkToFit="0"/>
      <x:protection locked="1" hidden="0"/>
    </x:xf>
    <x:xf numFmtId="164" fontId="13" fillId="6" borderId="1" xfId="0" applyFont="1" applyBorder="1" applyAlignment="1" applyProtection="0">
      <x:alignment horizontal="general" vertical="bottom" wrapText="0" shrinkToFit="0"/>
      <x:protection locked="1" hidden="0"/>
    </x:xf>
    <x:xf numFmtId="164" fontId="15" fillId="0" borderId="0" xfId="0" applyFont="1" applyBorder="0" applyAlignment="1" applyProtection="0">
      <x:alignment horizontal="general" vertical="bottom" wrapText="0" shrinkToFit="0"/>
      <x:protection locked="1" hidden="0"/>
    </x:xf>
    <x:xf numFmtId="165" fontId="14" fillId="0" borderId="1" xfId="0" applyFont="1" applyBorder="1" applyAlignment="1" applyProtection="0">
      <x:alignment horizontal="center" vertical="center" wrapText="0" shrinkToFit="0"/>
      <x:protection locked="1" hidden="0"/>
    </x:xf>
    <x:xf numFmtId="164" fontId="16" fillId="3" borderId="1" xfId="0" applyFont="1" applyBorder="1" applyAlignment="1" applyProtection="0">
      <x:alignment horizontal="general" vertical="bottom" wrapText="0" shrinkToFit="0"/>
      <x:protection locked="1" hidden="0"/>
    </x:xf>
    <x:xf numFmtId="164" fontId="16" fillId="3" borderId="1" xfId="0" applyFont="1" applyBorder="1" applyAlignment="1" applyProtection="0">
      <x:alignment horizontal="center" vertical="center" wrapText="0" shrinkToFit="0"/>
      <x:protection locked="1" hidden="0"/>
    </x:xf>
    <x:xf numFmtId="164" fontId="0" fillId="6" borderId="1" xfId="0" applyFont="0" applyBorder="1" applyAlignment="1" applyProtection="0">
      <x:alignment horizontal="general" vertical="bottom" wrapText="0" shrinkToFit="0"/>
      <x:protection locked="1" hidden="0"/>
    </x:xf>
    <x:xf numFmtId="164" fontId="17" fillId="0" borderId="0" xfId="0" applyFont="1" applyBorder="0" applyAlignment="1" applyProtection="0">
      <x:alignment horizontal="general" vertical="bottom" wrapText="0" shrinkToFit="0"/>
      <x:protection locked="1" hidden="0"/>
    </x:xf>
    <x:xf numFmtId="164" fontId="16" fillId="3" borderId="1" xfId="0" applyNumberFormat="1" applyFont="1" applyFill="1" applyBorder="1" applyAlignment="1">
      <x:alignment horizontal="center" vertical="center" wrapText="1"/>
    </x:xf>
    <x:xf numFmtId="164" fontId="17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595959"/>
      <x:rgbColor rgb="FF969696"/>
      <x:rgbColor rgb="FF1F3864"/>
      <x:rgbColor rgb="FF339966"/>
      <x:rgbColor rgb="FF0B1020"/>
      <x:rgbColor rgb="FF222222"/>
      <x:rgbColor rgb="FF993300"/>
      <x:rgbColor rgb="FF993366"/>
      <x:rgbColor rgb="FF2F5597"/>
      <x:rgbColor rgb="FF1F2A44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bb5a1b756d4ad3" /><Relationship Type="http://schemas.openxmlformats.org/officeDocument/2006/relationships/theme" Target="/xl/theme/theme1.xml" Id="R9eb6975e0962455d" /><Relationship Type="http://schemas.openxmlformats.org/officeDocument/2006/relationships/sharedStrings" Target="/xl/sharedStrings.xml" Id="Raa21adaaf8e14c0c" /><Relationship Type="http://schemas.openxmlformats.org/officeDocument/2006/relationships/worksheet" Target="/xl/worksheets/sheet1.xml" Id="R22975d8874354656" /><Relationship Type="http://schemas.openxmlformats.org/officeDocument/2006/relationships/worksheet" Target="/xl/worksheets/sheet2.xml" Id="R16b10c603c8b4724" /><Relationship Type="http://schemas.openxmlformats.org/officeDocument/2006/relationships/worksheet" Target="/xl/worksheets/sheet3.xml" Id="R4e74f546fb9a413d" /><Relationship Type="http://schemas.openxmlformats.org/officeDocument/2006/relationships/worksheet" Target="/xl/worksheets/sheet4.xml" Id="R04fc110aaa45405e" /><Relationship Type="http://schemas.openxmlformats.org/officeDocument/2006/relationships/worksheet" Target="/xl/worksheets/sheet5.xml" Id="R085a1cd6288b41c9" /><Relationship Type="http://schemas.openxmlformats.org/officeDocument/2006/relationships/worksheet" Target="/xl/worksheets/sheet6.xml" Id="R6ca74185b8a8445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/>
  </x:sheetViews>
  <x:sheetFormatPr defaultColWidth="8.6796875" defaultRowHeight="15"/>
  <x:cols>
    <x:col min="1" max="1" width="5" style="1" hidden="0" customWidth="1"/>
    <x:col min="2" max="2" width="118" style="1" hidden="0" customWidth="1"/>
  </x:cols>
  <x:sheetData>
    <x:row r="1" ht="21.75" hidden="0" customHeight="1">
      <x:c r="A1" s="2"/>
      <x:c r="B1" s="3" t="s">
        <x:v>0</x:v>
      </x:c>
    </x:row>
    <x:row r="2" ht="48.75" hidden="0" customHeight="1">
      <x:c r="A2" s="4"/>
      <x:c r="B2" s="5" t="s">
        <x:v>1</x:v>
      </x:c>
    </x:row>
    <x:row r="3" ht="21.75" hidden="0" customHeight="1">
      <x:c r="A3" s="6"/>
      <x:c r="B3" s="6" t="s">
        <x:v>2</x:v>
      </x:c>
    </x:row>
    <x:row r="4" ht="36.75" hidden="0" customHeight="1">
      <x:c r="A4" s="4"/>
      <x:c r="B4" s="5" t="str">
        <x:v>Instructions; Test Scripts (execute and document results); Traceability (requirements mapped to named tests); Defect Log; Execution Summary (limited automated checks and manual review); Worked Example (two completed examples). This workbook is an evaluation template.</x:v>
      </x:c>
    </x:row>
    <x:row r="5" ht="21.75" hidden="0" customHeight="1">
      <x:c r="A5" s="6"/>
      <x:c r="B5" s="6" t="s">
        <x:v>3</x:v>
      </x:c>
    </x:row>
    <x:row r="6" ht="48.75" hidden="0" customHeight="1">
      <x:c r="A6" s="4"/>
      <x:c r="B6" s="5" t="s">
        <x:v>4</x:v>
      </x:c>
    </x:row>
    <x:row r="7" ht="21.75" hidden="0" customHeight="1">
      <x:c r="A7" s="6"/>
      <x:c r="B7" s="6" t="s">
        <x:v>5</x:v>
      </x:c>
    </x:row>
    <x:row r="8" ht="24.75" hidden="0" customHeight="1">
      <x:c r="A8" s="7" t="n">
        <x:v>1</x:v>
      </x:c>
      <x:c r="B8" s="5" t="s">
        <x:v>6</x:v>
      </x:c>
    </x:row>
    <x:row r="9" ht="24.75" hidden="0" customHeight="1">
      <x:c r="A9" s="7" t="n">
        <x:v>2</x:v>
      </x:c>
      <x:c r="B9" s="5" t="s">
        <x:v>7</x:v>
      </x:c>
    </x:row>
    <x:row r="10" ht="15" hidden="0" customHeight="1">
      <x:c r="A10" s="7" t="n">
        <x:v>3</x:v>
      </x:c>
      <x:c r="B10" s="5" t="s">
        <x:v>8</x:v>
      </x:c>
    </x:row>
    <x:row r="11" ht="24.75" hidden="0" customHeight="1">
      <x:c r="A11" s="7" t="n">
        <x:v>4</x:v>
      </x:c>
      <x:c r="B11" s="5" t="s">
        <x:v>9</x:v>
      </x:c>
    </x:row>
    <x:row r="12" ht="24.75" hidden="0" customHeight="1">
      <x:c r="A12" s="7" t="n">
        <x:v>5</x:v>
      </x:c>
      <x:c r="B12" s="5" t="s">
        <x:v>10</x:v>
      </x:c>
    </x:row>
    <x:row r="13" ht="24.75" hidden="0" customHeight="1">
      <x:c r="A13" s="7" t="n">
        <x:v>6</x:v>
      </x:c>
      <x:c r="B13" s="5" t="s">
        <x:v>11</x:v>
      </x:c>
    </x:row>
    <x:row r="14" ht="15" hidden="0" customHeight="1">
      <x:c r="A14" s="7" t="n">
        <x:v>7</x:v>
      </x:c>
      <x:c r="B14" s="5" t="s">
        <x:v>12</x:v>
      </x:c>
    </x:row>
    <x:row r="15" ht="24.75" hidden="0" customHeight="1">
      <x:c r="A15" s="7" t="n">
        <x:v>8</x:v>
      </x:c>
      <x:c r="B15" s="5" t="str">
        <x:v>Review all executions, retests, defects, requirements, evidence and signatures. Automated checks clear is not sign-off or approval. The named reviewers decide whether the complete evidence meets the study requirements.</x:v>
      </x:c>
    </x:row>
    <x:row r="16" ht="21.75" hidden="0" customHeight="1">
      <x:c r="A16" s="6"/>
      <x:c r="B16" s="6" t="s">
        <x:v>13</x:v>
      </x:c>
    </x:row>
    <x:row r="17" ht="24.75" hidden="0" customHeight="1">
      <x:c r="B17" s="5" t="s">
        <x:v>14</x:v>
      </x:c>
    </x:row>
    <x:row r="18" ht="24.75" hidden="0" customHeight="1">
      <x:c r="B18" s="5" t="s">
        <x:v>15</x:v>
      </x:c>
    </x:row>
    <x:row r="19" ht="15" hidden="0" customHeight="1">
      <x:c r="B19" s="5" t="s">
        <x:v>16</x:v>
      </x:c>
    </x:row>
    <x:row r="20" ht="21.75" hidden="0" customHeight="1">
      <x:c r="A20" s="6"/>
      <x:c r="B20" s="6" t="str">
        <x:v>Automated checks and manual review (Execution Summary)</x:v>
      </x:c>
    </x:row>
    <x:row r="21" ht="36.75" hidden="0" customHeight="1">
      <x:c r="B21" s="5" t="str">
        <x:v>Automated checks require at least one named test, all Critical tests passing, no Critical/Major defect without Closed status, every listed requirement mapped to a named test, and no test Blocked, In Progress or unexecuted. A clear result still requires manual review of retest evidence, failed-test/defect links, coverage and signatures; the workbook does not verify those prerequisites or authorize go-live.</x:v>
      </x:c>
    </x:row>
    <x:row r="22" ht="15" hidden="0" customHeight="1">
      <x:c r="A22" s="6"/>
      <x:c r="B22" s="6" t="s">
        <x:v>17</x:v>
      </x:c>
    </x:row>
    <x:row r="23" ht="97" hidden="0">
      <x:c r="B23" s="5" t="str">
        <x:v>This synthetic evaluation workbook does not connect to an IRT system. A study-specific UAT process requires controlled test data, documented evidence, review of fixes and retests, and accountable human approval. The summary helps organize that review; it is not an automated authorization to promote a build.</x:v>
      </x:c>
    </x:row>
    <x:row r="24" ht="15" hidden="0">
      <x:c r="B24" s="8" t="s">
        <x:v>18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0" style="1" hidden="0" customWidth="1"/>
    <x:col min="2" max="3" width="62" style="1" hidden="0" customWidth="1"/>
  </x:cols>
  <x:sheetData>
    <x:row r="1" ht="24" hidden="0" customHeight="1">
      <x:c r="A1" s="9" t="s">
        <x:v>19</x:v>
      </x:c>
      <x:c r="B1" s="9"/>
      <x:c r="C1" s="9"/>
    </x:row>
    <x:row r="2" ht="42" hidden="0" customHeight="1">
      <x:c r="A2" s="10" t="s">
        <x:v>20</x:v>
      </x:c>
      <x:c r="B2" s="10"/>
      <x:c r="C2" s="10"/>
    </x:row>
    <x:row r="3" ht="19.5" hidden="0" customHeight="1">
      <x:c r="A3" s="11" t="s">
        <x:v>21</x:v>
      </x:c>
      <x:c r="B3" s="11" t="s">
        <x:v>22</x:v>
      </x:c>
      <x:c r="C3" s="11" t="s">
        <x:v>23</x:v>
      </x:c>
    </x:row>
    <x:row r="4" ht="24.75" hidden="0" customHeight="1">
      <x:c r="A4" s="12" t="s">
        <x:v>24</x:v>
      </x:c>
      <x:c r="B4" s="13" t="s">
        <x:v>25</x:v>
      </x:c>
      <x:c r="C4" s="13" t="s">
        <x:v>26</x:v>
      </x:c>
    </x:row>
    <x:row r="5" ht="15" hidden="0" customHeight="1">
      <x:c r="A5" s="12" t="s">
        <x:v>27</x:v>
      </x:c>
      <x:c r="B5" s="13" t="s">
        <x:v>28</x:v>
      </x:c>
      <x:c r="C5" s="13" t="s">
        <x:v>28</x:v>
      </x:c>
    </x:row>
    <x:row r="6" ht="36.75" hidden="0" customHeight="1">
      <x:c r="A6" s="12" t="s">
        <x:v>29</x:v>
      </x:c>
      <x:c r="B6" s="13" t="s">
        <x:v>30</x:v>
      </x:c>
      <x:c r="C6" s="13" t="s">
        <x:v>31</x:v>
      </x:c>
    </x:row>
    <x:row r="7" ht="15" hidden="0" customHeight="1">
      <x:c r="A7" s="12" t="s">
        <x:v>32</x:v>
      </x:c>
      <x:c r="B7" s="13" t="s">
        <x:v>33</x:v>
      </x:c>
      <x:c r="C7" s="13" t="s">
        <x:v>34</x:v>
      </x:c>
    </x:row>
    <x:row r="8" ht="48.75" hidden="0" customHeight="1">
      <x:c r="A8" s="12" t="s">
        <x:v>35</x:v>
      </x:c>
      <x:c r="B8" s="13" t="s">
        <x:v>36</x:v>
      </x:c>
      <x:c r="C8" s="13" t="s">
        <x:v>37</x:v>
      </x:c>
    </x:row>
    <x:row r="9" ht="48.75" hidden="0" customHeight="1">
      <x:c r="A9" s="12" t="s">
        <x:v>38</x:v>
      </x:c>
      <x:c r="B9" s="13" t="s">
        <x:v>39</x:v>
      </x:c>
      <x:c r="C9" s="13" t="s">
        <x:v>40</x:v>
      </x:c>
    </x:row>
    <x:row r="10" ht="48.75" hidden="0" customHeight="1">
      <x:c r="A10" s="12" t="s">
        <x:v>41</x:v>
      </x:c>
      <x:c r="B10" s="13" t="s">
        <x:v>42</x:v>
      </x:c>
      <x:c r="C10" s="13" t="s">
        <x:v>43</x:v>
      </x:c>
    </x:row>
    <x:row r="11" ht="24.75" hidden="0" customHeight="1">
      <x:c r="A11" s="12" t="s">
        <x:v>44</x:v>
      </x:c>
      <x:c r="B11" s="13" t="s">
        <x:v>45</x:v>
      </x:c>
      <x:c r="C11" s="13" t="s">
        <x:v>46</x:v>
      </x:c>
    </x:row>
    <x:row r="12" ht="24.75" hidden="0" customHeight="1">
      <x:c r="A12" s="12" t="s">
        <x:v>47</x:v>
      </x:c>
      <x:c r="B12" s="13" t="s">
        <x:v>48</x:v>
      </x:c>
      <x:c r="C12" s="13" t="s">
        <x:v>49</x:v>
      </x:c>
    </x:row>
    <x:row r="13" ht="36.75" hidden="0" customHeight="1">
      <x:c r="A13" s="12" t="s">
        <x:v>50</x:v>
      </x:c>
      <x:c r="B13" s="13" t="s">
        <x:v>51</x:v>
      </x:c>
      <x:c r="C13" s="13" t="s">
        <x:v>52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9" style="1" hidden="0" customWidth="1"/>
    <x:col min="2" max="2" width="20" style="1" hidden="0" customWidth="1"/>
    <x:col min="3" max="3" width="11" style="1" hidden="0" customWidth="1"/>
    <x:col min="4" max="4" width="9" style="1" hidden="0" customWidth="1"/>
    <x:col min="5" max="5" width="26" style="1" hidden="0" customWidth="1"/>
    <x:col min="6" max="6" width="40" style="1" hidden="0" customWidth="1"/>
    <x:col min="7" max="7" width="34" style="1" hidden="0" customWidth="1"/>
    <x:col min="8" max="8" width="30" style="1" hidden="0" customWidth="1"/>
    <x:col min="9" max="10" width="12" style="1" hidden="0" customWidth="1"/>
    <x:col min="11" max="11" width="11" style="1" hidden="0" customWidth="1"/>
    <x:col min="12" max="12" width="10" style="1" hidden="0" customWidth="1"/>
    <x:col min="13" max="13" width="24" style="1" hidden="0" customWidth="1"/>
  </x:cols>
  <x:sheetData>
    <x:row r="1" ht="30" hidden="0" customHeight="1">
      <x:c r="A1" s="14" t="s">
        <x:v>53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27.75" hidden="0" customHeight="1">
      <x:c r="A2" s="15" t="s">
        <x:v>54</x:v>
      </x:c>
      <x:c r="B2" s="15" t="s">
        <x:v>55</x:v>
      </x:c>
      <x:c r="C2" s="15" t="s">
        <x:v>56</x:v>
      </x:c>
      <x:c r="D2" s="15" t="s">
        <x:v>27</x:v>
      </x:c>
      <x:c r="E2" s="15" t="s">
        <x:v>57</x:v>
      </x:c>
      <x:c r="F2" s="15" t="s">
        <x:v>35</x:v>
      </x:c>
      <x:c r="G2" s="15" t="s">
        <x:v>58</x:v>
      </x:c>
      <x:c r="H2" s="15" t="s">
        <x:v>59</x:v>
      </x:c>
      <x:c r="I2" s="15" t="s">
        <x:v>60</x:v>
      </x:c>
      <x:c r="J2" s="15" t="s">
        <x:v>61</x:v>
      </x:c>
      <x:c r="K2" s="15" t="s">
        <x:v>62</x:v>
      </x:c>
      <x:c r="L2" s="15" t="s">
        <x:v>63</x:v>
      </x:c>
      <x:c r="M2" s="15" t="s">
        <x:v>64</x:v>
      </x:c>
    </x:row>
    <x:row r="3" ht="30" hidden="0" customHeight="1">
      <x:c r="A3" s="16" t="s">
        <x:v>65</x:v>
      </x:c>
      <x:c r="B3" s="16" t="s">
        <x:v>66</x:v>
      </x:c>
      <x:c r="C3" s="16" t="s">
        <x:v>67</x:v>
      </x:c>
      <x:c r="D3" s="16" t="s">
        <x:v>28</x:v>
      </x:c>
      <x:c r="E3" s="16" t="s">
        <x:v>68</x:v>
      </x:c>
      <x:c r="F3" s="16" t="s">
        <x:v>69</x:v>
      </x:c>
      <x:c r="G3" s="16" t="s">
        <x:v>70</x:v>
      </x:c>
      <x:c r="H3" s="17"/>
      <x:c r="I3" s="17"/>
      <x:c r="J3" s="17"/>
      <x:c r="K3" s="17"/>
      <x:c r="L3" s="17"/>
      <x:c r="M3" s="17"/>
    </x:row>
    <x:row r="4" ht="30" hidden="0" customHeight="1">
      <x:c r="A4" s="16" t="s">
        <x:v>71</x:v>
      </x:c>
      <x:c r="B4" s="16" t="s">
        <x:v>66</x:v>
      </x:c>
      <x:c r="C4" s="16" t="s">
        <x:v>72</x:v>
      </x:c>
      <x:c r="D4" s="16" t="s">
        <x:v>28</x:v>
      </x:c>
      <x:c r="E4" s="16" t="s">
        <x:v>73</x:v>
      </x:c>
      <x:c r="F4" s="16" t="s">
        <x:v>74</x:v>
      </x:c>
      <x:c r="G4" s="16" t="s">
        <x:v>75</x:v>
      </x:c>
      <x:c r="H4" s="17"/>
      <x:c r="I4" s="17"/>
      <x:c r="J4" s="17"/>
      <x:c r="K4" s="17"/>
      <x:c r="L4" s="17"/>
      <x:c r="M4" s="17"/>
    </x:row>
    <x:row r="5" ht="30" hidden="0" customHeight="1">
      <x:c r="A5" s="16" t="s">
        <x:v>76</x:v>
      </x:c>
      <x:c r="B5" s="16" t="s">
        <x:v>66</x:v>
      </x:c>
      <x:c r="C5" s="16" t="s">
        <x:v>77</x:v>
      </x:c>
      <x:c r="D5" s="16" t="s">
        <x:v>78</x:v>
      </x:c>
      <x:c r="E5" s="16" t="s">
        <x:v>79</x:v>
      </x:c>
      <x:c r="F5" s="16" t="s">
        <x:v>80</x:v>
      </x:c>
      <x:c r="G5" s="16" t="s">
        <x:v>81</x:v>
      </x:c>
      <x:c r="H5" s="17"/>
      <x:c r="I5" s="17"/>
      <x:c r="J5" s="17"/>
      <x:c r="K5" s="17"/>
      <x:c r="L5" s="17"/>
      <x:c r="M5" s="17"/>
    </x:row>
    <x:row r="6" ht="30" hidden="0" customHeight="1">
      <x:c r="A6" s="16" t="s">
        <x:v>82</x:v>
      </x:c>
      <x:c r="B6" s="16" t="s">
        <x:v>66</x:v>
      </x:c>
      <x:c r="C6" s="16" t="s">
        <x:v>83</x:v>
      </x:c>
      <x:c r="D6" s="16" t="s">
        <x:v>78</x:v>
      </x:c>
      <x:c r="E6" s="16" t="s">
        <x:v>84</x:v>
      </x:c>
      <x:c r="F6" s="16" t="s">
        <x:v>85</x:v>
      </x:c>
      <x:c r="G6" s="16" t="s">
        <x:v>86</x:v>
      </x:c>
      <x:c r="H6" s="17"/>
      <x:c r="I6" s="17"/>
      <x:c r="J6" s="17"/>
      <x:c r="K6" s="17"/>
      <x:c r="L6" s="17"/>
      <x:c r="M6" s="17"/>
    </x:row>
    <x:row r="7" ht="30" hidden="0" customHeight="1">
      <x:c r="A7" s="16" t="s">
        <x:v>87</x:v>
      </x:c>
      <x:c r="B7" s="16" t="s">
        <x:v>66</x:v>
      </x:c>
      <x:c r="C7" s="16" t="s">
        <x:v>88</x:v>
      </x:c>
      <x:c r="D7" s="16" t="s">
        <x:v>28</x:v>
      </x:c>
      <x:c r="E7" s="16" t="s">
        <x:v>89</x:v>
      </x:c>
      <x:c r="F7" s="16" t="s">
        <x:v>90</x:v>
      </x:c>
      <x:c r="G7" s="16" t="s">
        <x:v>91</x:v>
      </x:c>
      <x:c r="H7" s="17"/>
      <x:c r="I7" s="17"/>
      <x:c r="J7" s="17"/>
      <x:c r="K7" s="17"/>
      <x:c r="L7" s="17"/>
      <x:c r="M7" s="17"/>
    </x:row>
    <x:row r="8" ht="30" hidden="0" customHeight="1">
      <x:c r="A8" s="16" t="s">
        <x:v>92</x:v>
      </x:c>
      <x:c r="B8" s="16" t="s">
        <x:v>66</x:v>
      </x:c>
      <x:c r="C8" s="16" t="s">
        <x:v>93</x:v>
      </x:c>
      <x:c r="D8" s="16" t="s">
        <x:v>28</x:v>
      </x:c>
      <x:c r="E8" s="16" t="s">
        <x:v>94</x:v>
      </x:c>
      <x:c r="F8" s="16" t="s">
        <x:v>95</x:v>
      </x:c>
      <x:c r="G8" s="16" t="s">
        <x:v>96</x:v>
      </x:c>
      <x:c r="H8" s="17"/>
      <x:c r="I8" s="17"/>
      <x:c r="J8" s="17"/>
      <x:c r="K8" s="17"/>
      <x:c r="L8" s="17"/>
      <x:c r="M8" s="17"/>
    </x:row>
    <x:row r="9" ht="30" hidden="0" customHeight="1">
      <x:c r="A9" s="16" t="s">
        <x:v>97</x:v>
      </x:c>
      <x:c r="B9" s="16" t="s">
        <x:v>66</x:v>
      </x:c>
      <x:c r="C9" s="16" t="s">
        <x:v>98</x:v>
      </x:c>
      <x:c r="D9" s="16" t="s">
        <x:v>78</x:v>
      </x:c>
      <x:c r="E9" s="16" t="s">
        <x:v>99</x:v>
      </x:c>
      <x:c r="F9" s="16" t="s">
        <x:v>100</x:v>
      </x:c>
      <x:c r="G9" s="16" t="s">
        <x:v>101</x:v>
      </x:c>
      <x:c r="H9" s="17"/>
      <x:c r="I9" s="17"/>
      <x:c r="J9" s="17"/>
      <x:c r="K9" s="17"/>
      <x:c r="L9" s="17"/>
      <x:c r="M9" s="17"/>
    </x:row>
    <x:row r="10" ht="30" hidden="0" customHeight="1">
      <x:c r="A10" s="16" t="s">
        <x:v>102</x:v>
      </x:c>
      <x:c r="B10" s="16" t="s">
        <x:v>103</x:v>
      </x:c>
      <x:c r="C10" s="16" t="s">
        <x:v>104</x:v>
      </x:c>
      <x:c r="D10" s="16" t="s">
        <x:v>105</x:v>
      </x:c>
      <x:c r="E10" s="16" t="s">
        <x:v>106</x:v>
      </x:c>
      <x:c r="F10" s="16" t="s">
        <x:v>107</x:v>
      </x:c>
      <x:c r="G10" s="16" t="s">
        <x:v>108</x:v>
      </x:c>
      <x:c r="H10" s="17"/>
      <x:c r="I10" s="17"/>
      <x:c r="J10" s="17"/>
      <x:c r="K10" s="17"/>
      <x:c r="L10" s="17"/>
      <x:c r="M10" s="17"/>
    </x:row>
    <x:row r="11" ht="30" hidden="0" customHeight="1">
      <x:c r="A11" s="16" t="s">
        <x:v>109</x:v>
      </x:c>
      <x:c r="B11" s="16" t="s">
        <x:v>103</x:v>
      </x:c>
      <x:c r="C11" s="16" t="s">
        <x:v>110</x:v>
      </x:c>
      <x:c r="D11" s="16" t="s">
        <x:v>78</x:v>
      </x:c>
      <x:c r="E11" s="16" t="s">
        <x:v>111</x:v>
      </x:c>
      <x:c r="F11" s="16" t="s">
        <x:v>112</x:v>
      </x:c>
      <x:c r="G11" s="16" t="s">
        <x:v>113</x:v>
      </x:c>
      <x:c r="H11" s="17"/>
      <x:c r="I11" s="17"/>
      <x:c r="J11" s="17"/>
      <x:c r="K11" s="17"/>
      <x:c r="L11" s="17"/>
      <x:c r="M11" s="17"/>
    </x:row>
    <x:row r="12" ht="30" hidden="0" customHeight="1">
      <x:c r="A12" s="16" t="s">
        <x:v>114</x:v>
      </x:c>
      <x:c r="B12" s="16" t="s">
        <x:v>103</x:v>
      </x:c>
      <x:c r="C12" s="16" t="s">
        <x:v>115</x:v>
      </x:c>
      <x:c r="D12" s="16" t="s">
        <x:v>105</x:v>
      </x:c>
      <x:c r="E12" s="16" t="s">
        <x:v>116</x:v>
      </x:c>
      <x:c r="F12" s="16" t="s">
        <x:v>117</x:v>
      </x:c>
      <x:c r="G12" s="16" t="s">
        <x:v>118</x:v>
      </x:c>
      <x:c r="H12" s="17"/>
      <x:c r="I12" s="17"/>
      <x:c r="J12" s="17"/>
      <x:c r="K12" s="17"/>
      <x:c r="L12" s="17"/>
      <x:c r="M12" s="17"/>
    </x:row>
    <x:row r="13" ht="30" hidden="0" customHeight="1">
      <x:c r="A13" s="16" t="s">
        <x:v>119</x:v>
      </x:c>
      <x:c r="B13" s="16" t="s">
        <x:v>103</x:v>
      </x:c>
      <x:c r="C13" s="16" t="s">
        <x:v>120</x:v>
      </x:c>
      <x:c r="D13" s="16" t="s">
        <x:v>78</x:v>
      </x:c>
      <x:c r="E13" s="16" t="s">
        <x:v>121</x:v>
      </x:c>
      <x:c r="F13" s="16" t="s">
        <x:v>122</x:v>
      </x:c>
      <x:c r="G13" s="16" t="s">
        <x:v>123</x:v>
      </x:c>
      <x:c r="H13" s="17"/>
      <x:c r="I13" s="17"/>
      <x:c r="J13" s="17"/>
      <x:c r="K13" s="17"/>
      <x:c r="L13" s="17"/>
      <x:c r="M13" s="17"/>
    </x:row>
    <x:row r="14" ht="30" hidden="0" customHeight="1">
      <x:c r="A14" s="16" t="s">
        <x:v>124</x:v>
      </x:c>
      <x:c r="B14" s="16" t="s">
        <x:v>125</x:v>
      </x:c>
      <x:c r="C14" s="16" t="s">
        <x:v>126</x:v>
      </x:c>
      <x:c r="D14" s="16" t="s">
        <x:v>28</x:v>
      </x:c>
      <x:c r="E14" s="16" t="s">
        <x:v>127</x:v>
      </x:c>
      <x:c r="F14" s="16" t="s">
        <x:v>128</x:v>
      </x:c>
      <x:c r="G14" s="16" t="s">
        <x:v>129</x:v>
      </x:c>
      <x:c r="H14" s="17"/>
      <x:c r="I14" s="17"/>
      <x:c r="J14" s="17"/>
      <x:c r="K14" s="17"/>
      <x:c r="L14" s="17"/>
      <x:c r="M14" s="17"/>
    </x:row>
    <x:row r="15" ht="30" hidden="0" customHeight="1">
      <x:c r="A15" s="16" t="s">
        <x:v>130</x:v>
      </x:c>
      <x:c r="B15" s="16" t="s">
        <x:v>125</x:v>
      </x:c>
      <x:c r="C15" s="16" t="s">
        <x:v>131</x:v>
      </x:c>
      <x:c r="D15" s="16" t="s">
        <x:v>78</x:v>
      </x:c>
      <x:c r="E15" s="16" t="s">
        <x:v>132</x:v>
      </x:c>
      <x:c r="F15" s="16" t="s">
        <x:v>133</x:v>
      </x:c>
      <x:c r="G15" s="16" t="s">
        <x:v>134</x:v>
      </x:c>
      <x:c r="H15" s="17"/>
      <x:c r="I15" s="17"/>
      <x:c r="J15" s="17"/>
      <x:c r="K15" s="17"/>
      <x:c r="L15" s="17"/>
      <x:c r="M15" s="17"/>
    </x:row>
    <x:row r="16" ht="30" hidden="0" customHeight="1">
      <x:c r="A16" s="16" t="s">
        <x:v>135</x:v>
      </x:c>
      <x:c r="B16" s="16" t="s">
        <x:v>125</x:v>
      </x:c>
      <x:c r="C16" s="16" t="s">
        <x:v>136</x:v>
      </x:c>
      <x:c r="D16" s="16" t="s">
        <x:v>105</x:v>
      </x:c>
      <x:c r="E16" s="16" t="s">
        <x:v>137</x:v>
      </x:c>
      <x:c r="F16" s="16" t="s">
        <x:v>138</x:v>
      </x:c>
      <x:c r="G16" s="16" t="s">
        <x:v>139</x:v>
      </x:c>
      <x:c r="H16" s="17"/>
      <x:c r="I16" s="17"/>
      <x:c r="J16" s="17"/>
      <x:c r="K16" s="17"/>
      <x:c r="L16" s="17"/>
      <x:c r="M16" s="17"/>
    </x:row>
    <x:row r="17" ht="30" hidden="0" customHeight="1">
      <x:c r="A17" s="16" t="s">
        <x:v>140</x:v>
      </x:c>
      <x:c r="B17" s="16" t="s">
        <x:v>125</x:v>
      </x:c>
      <x:c r="C17" s="16" t="s">
        <x:v>141</x:v>
      </x:c>
      <x:c r="D17" s="16" t="s">
        <x:v>78</x:v>
      </x:c>
      <x:c r="E17" s="16" t="s">
        <x:v>142</x:v>
      </x:c>
      <x:c r="F17" s="16" t="s">
        <x:v>143</x:v>
      </x:c>
      <x:c r="G17" s="16" t="s">
        <x:v>144</x:v>
      </x:c>
      <x:c r="H17" s="17"/>
      <x:c r="I17" s="17"/>
      <x:c r="J17" s="17"/>
      <x:c r="K17" s="17"/>
      <x:c r="L17" s="17"/>
      <x:c r="M17" s="17"/>
    </x:row>
    <x:row r="18" ht="30" hidden="0" customHeight="1">
      <x:c r="A18" s="16" t="s">
        <x:v>145</x:v>
      </x:c>
      <x:c r="B18" s="16" t="s">
        <x:v>125</x:v>
      </x:c>
      <x:c r="C18" s="16" t="s">
        <x:v>146</x:v>
      </x:c>
      <x:c r="D18" s="16" t="s">
        <x:v>28</x:v>
      </x:c>
      <x:c r="E18" s="16" t="s">
        <x:v>147</x:v>
      </x:c>
      <x:c r="F18" s="16" t="s">
        <x:v>148</x:v>
      </x:c>
      <x:c r="G18" s="16" t="s">
        <x:v>149</x:v>
      </x:c>
      <x:c r="H18" s="17"/>
      <x:c r="I18" s="17"/>
      <x:c r="J18" s="17"/>
      <x:c r="K18" s="17"/>
      <x:c r="L18" s="17"/>
      <x:c r="M18" s="17"/>
    </x:row>
    <x:row r="19" ht="30" hidden="0" customHeight="1">
      <x:c r="A19" s="16" t="s">
        <x:v>150</x:v>
      </x:c>
      <x:c r="B19" s="16" t="s">
        <x:v>151</x:v>
      </x:c>
      <x:c r="C19" s="16" t="s">
        <x:v>152</x:v>
      </x:c>
      <x:c r="D19" s="16" t="s">
        <x:v>78</x:v>
      </x:c>
      <x:c r="E19" s="16" t="s">
        <x:v>153</x:v>
      </x:c>
      <x:c r="F19" s="16" t="s">
        <x:v>154</x:v>
      </x:c>
      <x:c r="G19" s="16" t="s">
        <x:v>155</x:v>
      </x:c>
      <x:c r="H19" s="17"/>
      <x:c r="I19" s="17"/>
      <x:c r="J19" s="17"/>
      <x:c r="K19" s="17"/>
      <x:c r="L19" s="17"/>
      <x:c r="M19" s="17"/>
    </x:row>
    <x:row r="20" ht="30" hidden="0" customHeight="1">
      <x:c r="A20" s="16" t="s">
        <x:v>156</x:v>
      </x:c>
      <x:c r="B20" s="16" t="s">
        <x:v>151</x:v>
      </x:c>
      <x:c r="C20" s="16" t="s">
        <x:v>157</x:v>
      </x:c>
      <x:c r="D20" s="16" t="s">
        <x:v>28</x:v>
      </x:c>
      <x:c r="E20" s="16" t="s">
        <x:v>158</x:v>
      </x:c>
      <x:c r="F20" s="16" t="s">
        <x:v>159</x:v>
      </x:c>
      <x:c r="G20" s="16" t="s">
        <x:v>160</x:v>
      </x:c>
      <x:c r="H20" s="17"/>
      <x:c r="I20" s="17"/>
      <x:c r="J20" s="17"/>
      <x:c r="K20" s="17"/>
      <x:c r="L20" s="17"/>
      <x:c r="M20" s="17"/>
    </x:row>
    <x:row r="21" ht="30" hidden="0" customHeight="1">
      <x:c r="A21" s="16" t="s">
        <x:v>161</x:v>
      </x:c>
      <x:c r="B21" s="16" t="s">
        <x:v>151</x:v>
      </x:c>
      <x:c r="C21" s="16" t="s">
        <x:v>162</x:v>
      </x:c>
      <x:c r="D21" s="16" t="s">
        <x:v>78</x:v>
      </x:c>
      <x:c r="E21" s="16" t="s">
        <x:v>163</x:v>
      </x:c>
      <x:c r="F21" s="16" t="s">
        <x:v>164</x:v>
      </x:c>
      <x:c r="G21" s="16" t="s">
        <x:v>165</x:v>
      </x:c>
      <x:c r="H21" s="17"/>
      <x:c r="I21" s="17"/>
      <x:c r="J21" s="17"/>
      <x:c r="K21" s="17"/>
      <x:c r="L21" s="17"/>
      <x:c r="M21" s="17"/>
    </x:row>
    <x:row r="22" ht="30" hidden="0" customHeight="1">
      <x:c r="A22" s="16" t="s">
        <x:v>166</x:v>
      </x:c>
      <x:c r="B22" s="16" t="s">
        <x:v>151</x:v>
      </x:c>
      <x:c r="C22" s="16" t="s">
        <x:v>167</x:v>
      </x:c>
      <x:c r="D22" s="16" t="s">
        <x:v>105</x:v>
      </x:c>
      <x:c r="E22" s="16" t="s">
        <x:v>168</x:v>
      </x:c>
      <x:c r="F22" s="16" t="s">
        <x:v>169</x:v>
      </x:c>
      <x:c r="G22" s="16" t="s">
        <x:v>170</x:v>
      </x:c>
      <x:c r="H22" s="17"/>
      <x:c r="I22" s="17"/>
      <x:c r="J22" s="17"/>
      <x:c r="K22" s="17"/>
      <x:c r="L22" s="17"/>
      <x:c r="M22" s="17"/>
    </x:row>
    <x:row r="23" ht="30" hidden="0" customHeight="1">
      <x:c r="A23" s="16" t="s">
        <x:v>171</x:v>
      </x:c>
      <x:c r="B23" s="16" t="s">
        <x:v>172</x:v>
      </x:c>
      <x:c r="C23" s="16" t="s">
        <x:v>173</x:v>
      </x:c>
      <x:c r="D23" s="16" t="s">
        <x:v>28</x:v>
      </x:c>
      <x:c r="E23" s="16" t="s">
        <x:v>174</x:v>
      </x:c>
      <x:c r="F23" s="16" t="s">
        <x:v>175</x:v>
      </x:c>
      <x:c r="G23" s="16" t="s">
        <x:v>176</x:v>
      </x:c>
      <x:c r="H23" s="17"/>
      <x:c r="I23" s="17"/>
      <x:c r="J23" s="17"/>
      <x:c r="K23" s="17"/>
      <x:c r="L23" s="17"/>
      <x:c r="M23" s="17"/>
    </x:row>
    <x:row r="24" ht="30" hidden="0" customHeight="1">
      <x:c r="A24" s="16" t="s">
        <x:v>177</x:v>
      </x:c>
      <x:c r="B24" s="16" t="s">
        <x:v>172</x:v>
      </x:c>
      <x:c r="C24" s="16" t="s">
        <x:v>178</x:v>
      </x:c>
      <x:c r="D24" s="16" t="s">
        <x:v>28</x:v>
      </x:c>
      <x:c r="E24" s="16" t="s">
        <x:v>179</x:v>
      </x:c>
      <x:c r="F24" s="16" t="s">
        <x:v>180</x:v>
      </x:c>
      <x:c r="G24" s="16" t="s">
        <x:v>181</x:v>
      </x:c>
      <x:c r="H24" s="17"/>
      <x:c r="I24" s="17"/>
      <x:c r="J24" s="17"/>
      <x:c r="K24" s="17"/>
      <x:c r="L24" s="17"/>
      <x:c r="M24" s="17"/>
    </x:row>
    <x:row r="25" ht="30" hidden="0" customHeight="1">
      <x:c r="A25" s="16" t="s">
        <x:v>182</x:v>
      </x:c>
      <x:c r="B25" s="16" t="s">
        <x:v>172</x:v>
      </x:c>
      <x:c r="C25" s="16" t="s">
        <x:v>183</x:v>
      </x:c>
      <x:c r="D25" s="16" t="s">
        <x:v>78</x:v>
      </x:c>
      <x:c r="E25" s="16" t="s">
        <x:v>184</x:v>
      </x:c>
      <x:c r="F25" s="16" t="s">
        <x:v>185</x:v>
      </x:c>
      <x:c r="G25" s="16" t="s">
        <x:v>186</x:v>
      </x:c>
      <x:c r="H25" s="17"/>
      <x:c r="I25" s="17"/>
      <x:c r="J25" s="17"/>
      <x:c r="K25" s="17"/>
      <x:c r="L25" s="17"/>
      <x:c r="M25" s="17"/>
    </x:row>
    <x:row r="26" ht="30" hidden="0" customHeight="1">
      <x:c r="A26" s="16" t="s">
        <x:v>187</x:v>
      </x:c>
      <x:c r="B26" s="16" t="s">
        <x:v>188</x:v>
      </x:c>
      <x:c r="C26" s="16" t="s">
        <x:v>189</x:v>
      </x:c>
      <x:c r="D26" s="16" t="s">
        <x:v>105</x:v>
      </x:c>
      <x:c r="E26" s="16" t="s">
        <x:v>190</x:v>
      </x:c>
      <x:c r="F26" s="16" t="s">
        <x:v>191</x:v>
      </x:c>
      <x:c r="G26" s="16" t="s">
        <x:v>192</x:v>
      </x:c>
      <x:c r="H26" s="17"/>
      <x:c r="I26" s="17"/>
      <x:c r="J26" s="17"/>
      <x:c r="K26" s="17"/>
      <x:c r="L26" s="17"/>
      <x:c r="M26" s="17"/>
    </x:row>
    <x:row r="27" ht="30" hidden="0" customHeight="1">
      <x:c r="A27" s="16" t="s">
        <x:v>193</x:v>
      </x:c>
      <x:c r="B27" s="16" t="s">
        <x:v>188</x:v>
      </x:c>
      <x:c r="C27" s="16" t="s">
        <x:v>194</x:v>
      </x:c>
      <x:c r="D27" s="16" t="s">
        <x:v>105</x:v>
      </x:c>
      <x:c r="E27" s="16" t="s">
        <x:v>195</x:v>
      </x:c>
      <x:c r="F27" s="16" t="s">
        <x:v>196</x:v>
      </x:c>
      <x:c r="G27" s="16" t="s">
        <x:v>197</x:v>
      </x:c>
      <x:c r="H27" s="17"/>
      <x:c r="I27" s="17"/>
      <x:c r="J27" s="17"/>
      <x:c r="K27" s="17"/>
      <x:c r="L27" s="17"/>
      <x:c r="M27" s="17"/>
    </x:row>
    <x:row r="28" ht="30" hidden="0" customHeight="1">
      <x:c r="A28" s="16" t="s">
        <x:v>198</x:v>
      </x:c>
      <x:c r="B28" s="16" t="s">
        <x:v>199</x:v>
      </x:c>
      <x:c r="C28" s="16" t="s">
        <x:v>200</x:v>
      </x:c>
      <x:c r="D28" s="16" t="s">
        <x:v>78</x:v>
      </x:c>
      <x:c r="E28" s="16" t="s">
        <x:v>201</x:v>
      </x:c>
      <x:c r="F28" s="16" t="s">
        <x:v>202</x:v>
      </x:c>
      <x:c r="G28" s="16" t="s">
        <x:v>203</x:v>
      </x:c>
      <x:c r="H28" s="17"/>
      <x:c r="I28" s="17"/>
      <x:c r="J28" s="17"/>
      <x:c r="K28" s="17"/>
      <x:c r="L28" s="17"/>
      <x:c r="M28" s="17"/>
    </x:row>
    <x:row r="29" ht="30" hidden="0" customHeight="1">
      <x:c r="A29" s="16" t="s">
        <x:v>204</x:v>
      </x:c>
      <x:c r="B29" s="16" t="s">
        <x:v>199</x:v>
      </x:c>
      <x:c r="C29" s="16" t="s">
        <x:v>205</x:v>
      </x:c>
      <x:c r="D29" s="16" t="s">
        <x:v>78</x:v>
      </x:c>
      <x:c r="E29" s="16" t="s">
        <x:v>206</x:v>
      </x:c>
      <x:c r="F29" s="16" t="s">
        <x:v>207</x:v>
      </x:c>
      <x:c r="G29" s="16" t="s">
        <x:v>208</x:v>
      </x:c>
      <x:c r="H29" s="17"/>
      <x:c r="I29" s="17"/>
      <x:c r="J29" s="17"/>
      <x:c r="K29" s="17"/>
      <x:c r="L29" s="17"/>
      <x:c r="M29" s="17"/>
    </x:row>
  </x:sheetData>
  <x:mergeCells>
    <x:mergeCell ref="A1:M1"/>
  </x:mergeCells>
  <x:dataValidations count="2">
    <x:dataValidation type="list" errorStyle="stop" operator="between" allowBlank="1" showDropDown="0" showInputMessage="0" showErrorMessage="0" sqref="I3:I60">
      <x:formula1>"Pass,Fail,Blocked,In Progress,Not Run"</x:formula1>
      <x:formula2>0</x:formula2>
    </x:dataValidation>
    <x:dataValidation type="list" errorStyle="stop" operator="between" allowBlank="1" showDropDown="0" showInputMessage="0" showErrorMessage="0" sqref="D3:D60">
      <x:formula1>"Critical,High,Medium"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13" style="1" hidden="0" customWidth="1"/>
    <x:col min="2" max="2" width="70" style="1" hidden="0" customWidth="1"/>
    <x:col min="3" max="3" width="14" style="1" hidden="0" customWidth="1"/>
    <x:col min="4" max="4" width="16" style="1" hidden="0" customWidth="1"/>
  </x:cols>
  <x:sheetData>
    <x:row r="1" ht="30" hidden="0" customHeight="1">
      <x:c r="A1" s="14" t="s">
        <x:v>209</x:v>
      </x:c>
      <x:c r="B1" s="14"/>
      <x:c r="C1" s="14"/>
      <x:c r="D1" s="14"/>
    </x:row>
    <x:row r="2" ht="26.25" hidden="0" customHeight="1">
      <x:c r="A2" s="15" t="s">
        <x:v>56</x:v>
      </x:c>
      <x:c r="B2" s="15" t="s">
        <x:v>210</x:v>
      </x:c>
      <x:c r="C2" s="15" t="s">
        <x:v>211</x:v>
      </x:c>
      <x:c r="D2" s="15" t="s">
        <x:v>212</x:v>
      </x:c>
    </x:row>
    <x:row r="3" ht="15" hidden="0" customHeight="1">
      <x:c r="A3" s="18" t="s">
        <x:v>126</x:v>
      </x:c>
      <x:c r="B3" s="16" t="s">
        <x:v>127</x:v>
      </x:c>
      <x:c r="C3" s="19" t="n">
        <x:f aca="0">COUNTIFS('Test Scripts'!$C$3:$C$60,A3,'Test Scripts'!$A$3:$A$60,"&lt;&gt;")</x:f>
        <x:v>1</x:v>
      </x:c>
      <x:c r="D3" s="19" t="str">
        <x:f aca="0">IF(C3&gt;0,"Y","N (GAP)")</x:f>
        <x:v>Y</x:v>
      </x:c>
    </x:row>
    <x:row r="4" ht="15" hidden="0" customHeight="1">
      <x:c r="A4" s="18" t="s">
        <x:v>131</x:v>
      </x:c>
      <x:c r="B4" s="16" t="s">
        <x:v>132</x:v>
      </x:c>
      <x:c r="C4" s="19" t="n">
        <x:f aca="0">COUNTIFS('Test Scripts'!$C$3:$C$60,A4,'Test Scripts'!$A$3:$A$60,"&lt;&gt;")</x:f>
        <x:v>1</x:v>
      </x:c>
      <x:c r="D4" s="19" t="str">
        <x:f aca="0">IF(C4&gt;0,"Y","N (GAP)")</x:f>
        <x:v>Y</x:v>
      </x:c>
    </x:row>
    <x:row r="5" ht="15" hidden="0" customHeight="1">
      <x:c r="A5" s="18" t="s">
        <x:v>136</x:v>
      </x:c>
      <x:c r="B5" s="16" t="s">
        <x:v>137</x:v>
      </x:c>
      <x:c r="C5" s="19" t="n">
        <x:f aca="0">COUNTIFS('Test Scripts'!$C$3:$C$60,A5,'Test Scripts'!$A$3:$A$60,"&lt;&gt;")</x:f>
        <x:v>1</x:v>
      </x:c>
      <x:c r="D5" s="19" t="str">
        <x:f aca="0">IF(C5&gt;0,"Y","N (GAP)")</x:f>
        <x:v>Y</x:v>
      </x:c>
    </x:row>
    <x:row r="6" ht="15" hidden="0" customHeight="1">
      <x:c r="A6" s="18" t="s">
        <x:v>141</x:v>
      </x:c>
      <x:c r="B6" s="16" t="s">
        <x:v>142</x:v>
      </x:c>
      <x:c r="C6" s="19" t="n">
        <x:f aca="0">COUNTIFS('Test Scripts'!$C$3:$C$60,A6,'Test Scripts'!$A$3:$A$60,"&lt;&gt;")</x:f>
        <x:v>1</x:v>
      </x:c>
      <x:c r="D6" s="19" t="str">
        <x:f aca="0">IF(C6&gt;0,"Y","N (GAP)")</x:f>
        <x:v>Y</x:v>
      </x:c>
    </x:row>
    <x:row r="7" ht="15" hidden="0" customHeight="1">
      <x:c r="A7" s="18" t="s">
        <x:v>146</x:v>
      </x:c>
      <x:c r="B7" s="16" t="s">
        <x:v>147</x:v>
      </x:c>
      <x:c r="C7" s="19" t="n">
        <x:f aca="0">COUNTIFS('Test Scripts'!$C$3:$C$60,A7,'Test Scripts'!$A$3:$A$60,"&lt;&gt;")</x:f>
        <x:v>1</x:v>
      </x:c>
      <x:c r="D7" s="19" t="str">
        <x:f aca="0">IF(C7&gt;0,"Y","N (GAP)")</x:f>
        <x:v>Y</x:v>
      </x:c>
    </x:row>
    <x:row r="8" ht="15" hidden="0" customHeight="1">
      <x:c r="A8" s="18" t="s">
        <x:v>104</x:v>
      </x:c>
      <x:c r="B8" s="16" t="s">
        <x:v>106</x:v>
      </x:c>
      <x:c r="C8" s="19" t="n">
        <x:f aca="0">COUNTIFS('Test Scripts'!$C$3:$C$60,A8,'Test Scripts'!$A$3:$A$60,"&lt;&gt;")</x:f>
        <x:v>1</x:v>
      </x:c>
      <x:c r="D8" s="19" t="str">
        <x:f aca="0">IF(C8&gt;0,"Y","N (GAP)")</x:f>
        <x:v>Y</x:v>
      </x:c>
    </x:row>
    <x:row r="9" ht="15" hidden="0" customHeight="1">
      <x:c r="A9" s="18" t="s">
        <x:v>110</x:v>
      </x:c>
      <x:c r="B9" s="16" t="s">
        <x:v>111</x:v>
      </x:c>
      <x:c r="C9" s="19" t="n">
        <x:f aca="0">COUNTIFS('Test Scripts'!$C$3:$C$60,A9,'Test Scripts'!$A$3:$A$60,"&lt;&gt;")</x:f>
        <x:v>1</x:v>
      </x:c>
      <x:c r="D9" s="19" t="str">
        <x:f aca="0">IF(C9&gt;0,"Y","N (GAP)")</x:f>
        <x:v>Y</x:v>
      </x:c>
    </x:row>
    <x:row r="10" ht="15" hidden="0" customHeight="1">
      <x:c r="A10" s="18" t="s">
        <x:v>115</x:v>
      </x:c>
      <x:c r="B10" s="16" t="s">
        <x:v>116</x:v>
      </x:c>
      <x:c r="C10" s="19" t="n">
        <x:f aca="0">COUNTIFS('Test Scripts'!$C$3:$C$60,A10,'Test Scripts'!$A$3:$A$60,"&lt;&gt;")</x:f>
        <x:v>1</x:v>
      </x:c>
      <x:c r="D10" s="19" t="str">
        <x:f aca="0">IF(C10&gt;0,"Y","N (GAP)")</x:f>
        <x:v>Y</x:v>
      </x:c>
    </x:row>
    <x:row r="11" ht="15" hidden="0" customHeight="1">
      <x:c r="A11" s="18" t="s">
        <x:v>120</x:v>
      </x:c>
      <x:c r="B11" s="16" t="s">
        <x:v>121</x:v>
      </x:c>
      <x:c r="C11" s="19" t="n">
        <x:f aca="0">COUNTIFS('Test Scripts'!$C$3:$C$60,A11,'Test Scripts'!$A$3:$A$60,"&lt;&gt;")</x:f>
        <x:v>1</x:v>
      </x:c>
      <x:c r="D11" s="19" t="str">
        <x:f aca="0">IF(C11&gt;0,"Y","N (GAP)")</x:f>
        <x:v>Y</x:v>
      </x:c>
    </x:row>
    <x:row r="12" ht="15" hidden="0" customHeight="1">
      <x:c r="A12" s="18" t="s">
        <x:v>200</x:v>
      </x:c>
      <x:c r="B12" s="16" t="s">
        <x:v>201</x:v>
      </x:c>
      <x:c r="C12" s="19" t="n">
        <x:f aca="0">COUNTIFS('Test Scripts'!$C$3:$C$60,A12,'Test Scripts'!$A$3:$A$60,"&lt;&gt;")</x:f>
        <x:v>1</x:v>
      </x:c>
      <x:c r="D12" s="19" t="str">
        <x:f aca="0">IF(C12&gt;0,"Y","N (GAP)")</x:f>
        <x:v>Y</x:v>
      </x:c>
    </x:row>
    <x:row r="13" ht="15" hidden="0" customHeight="1">
      <x:c r="A13" s="18" t="s">
        <x:v>205</x:v>
      </x:c>
      <x:c r="B13" s="16" t="s">
        <x:v>206</x:v>
      </x:c>
      <x:c r="C13" s="19" t="n">
        <x:f aca="0">COUNTIFS('Test Scripts'!$C$3:$C$60,A13,'Test Scripts'!$A$3:$A$60,"&lt;&gt;")</x:f>
        <x:v>1</x:v>
      </x:c>
      <x:c r="D13" s="19" t="str">
        <x:f aca="0">IF(C13&gt;0,"Y","N (GAP)")</x:f>
        <x:v>Y</x:v>
      </x:c>
    </x:row>
    <x:row r="14" ht="15" hidden="0" customHeight="1">
      <x:c r="A14" s="18" t="s">
        <x:v>189</x:v>
      </x:c>
      <x:c r="B14" s="16" t="s">
        <x:v>190</x:v>
      </x:c>
      <x:c r="C14" s="19" t="n">
        <x:f aca="0">COUNTIFS('Test Scripts'!$C$3:$C$60,A14,'Test Scripts'!$A$3:$A$60,"&lt;&gt;")</x:f>
        <x:v>1</x:v>
      </x:c>
      <x:c r="D14" s="19" t="str">
        <x:f aca="0">IF(C14&gt;0,"Y","N (GAP)")</x:f>
        <x:v>Y</x:v>
      </x:c>
    </x:row>
    <x:row r="15" ht="15" hidden="0" customHeight="1">
      <x:c r="A15" s="18" t="s">
        <x:v>194</x:v>
      </x:c>
      <x:c r="B15" s="16" t="s">
        <x:v>195</x:v>
      </x:c>
      <x:c r="C15" s="19" t="n">
        <x:f aca="0">COUNTIFS('Test Scripts'!$C$3:$C$60,A15,'Test Scripts'!$A$3:$A$60,"&lt;&gt;")</x:f>
        <x:v>1</x:v>
      </x:c>
      <x:c r="D15" s="19" t="str">
        <x:f aca="0">IF(C15&gt;0,"Y","N (GAP)")</x:f>
        <x:v>Y</x:v>
      </x:c>
    </x:row>
    <x:row r="16" ht="15" hidden="0" customHeight="1">
      <x:c r="A16" s="18" t="s">
        <x:v>67</x:v>
      </x:c>
      <x:c r="B16" s="16" t="s">
        <x:v>68</x:v>
      </x:c>
      <x:c r="C16" s="19" t="n">
        <x:f aca="0">COUNTIFS('Test Scripts'!$C$3:$C$60,A16,'Test Scripts'!$A$3:$A$60,"&lt;&gt;")</x:f>
        <x:v>1</x:v>
      </x:c>
      <x:c r="D16" s="19" t="str">
        <x:f aca="0">IF(C16&gt;0,"Y","N (GAP)")</x:f>
        <x:v>Y</x:v>
      </x:c>
    </x:row>
    <x:row r="17" ht="15" hidden="0" customHeight="1">
      <x:c r="A17" s="18" t="s">
        <x:v>72</x:v>
      </x:c>
      <x:c r="B17" s="16" t="s">
        <x:v>73</x:v>
      </x:c>
      <x:c r="C17" s="19" t="n">
        <x:f aca="0">COUNTIFS('Test Scripts'!$C$3:$C$60,A17,'Test Scripts'!$A$3:$A$60,"&lt;&gt;")</x:f>
        <x:v>1</x:v>
      </x:c>
      <x:c r="D17" s="19" t="str">
        <x:f aca="0">IF(C17&gt;0,"Y","N (GAP)")</x:f>
        <x:v>Y</x:v>
      </x:c>
    </x:row>
    <x:row r="18" ht="15" hidden="0" customHeight="1">
      <x:c r="A18" s="18" t="s">
        <x:v>77</x:v>
      </x:c>
      <x:c r="B18" s="16" t="s">
        <x:v>79</x:v>
      </x:c>
      <x:c r="C18" s="19" t="n">
        <x:f aca="0">COUNTIFS('Test Scripts'!$C$3:$C$60,A18,'Test Scripts'!$A$3:$A$60,"&lt;&gt;")</x:f>
        <x:v>1</x:v>
      </x:c>
      <x:c r="D18" s="19" t="str">
        <x:f aca="0">IF(C18&gt;0,"Y","N (GAP)")</x:f>
        <x:v>Y</x:v>
      </x:c>
    </x:row>
    <x:row r="19" ht="15" hidden="0" customHeight="1">
      <x:c r="A19" s="18" t="s">
        <x:v>83</x:v>
      </x:c>
      <x:c r="B19" s="16" t="s">
        <x:v>84</x:v>
      </x:c>
      <x:c r="C19" s="19" t="n">
        <x:f aca="0">COUNTIFS('Test Scripts'!$C$3:$C$60,A19,'Test Scripts'!$A$3:$A$60,"&lt;&gt;")</x:f>
        <x:v>1</x:v>
      </x:c>
      <x:c r="D19" s="19" t="str">
        <x:f aca="0">IF(C19&gt;0,"Y","N (GAP)")</x:f>
        <x:v>Y</x:v>
      </x:c>
    </x:row>
    <x:row r="20" ht="15" hidden="0" customHeight="1">
      <x:c r="A20" s="18" t="s">
        <x:v>88</x:v>
      </x:c>
      <x:c r="B20" s="16" t="s">
        <x:v>89</x:v>
      </x:c>
      <x:c r="C20" s="19" t="n">
        <x:f aca="0">COUNTIFS('Test Scripts'!$C$3:$C$60,A20,'Test Scripts'!$A$3:$A$60,"&lt;&gt;")</x:f>
        <x:v>1</x:v>
      </x:c>
      <x:c r="D20" s="19" t="str">
        <x:f aca="0">IF(C20&gt;0,"Y","N (GAP)")</x:f>
        <x:v>Y</x:v>
      </x:c>
    </x:row>
    <x:row r="21" ht="15" hidden="0" customHeight="1">
      <x:c r="A21" s="18" t="s">
        <x:v>93</x:v>
      </x:c>
      <x:c r="B21" s="16" t="s">
        <x:v>94</x:v>
      </x:c>
      <x:c r="C21" s="19" t="n">
        <x:f aca="0">COUNTIFS('Test Scripts'!$C$3:$C$60,A21,'Test Scripts'!$A$3:$A$60,"&lt;&gt;")</x:f>
        <x:v>1</x:v>
      </x:c>
      <x:c r="D21" s="19" t="str">
        <x:f aca="0">IF(C21&gt;0,"Y","N (GAP)")</x:f>
        <x:v>Y</x:v>
      </x:c>
    </x:row>
    <x:row r="22" ht="15" hidden="0" customHeight="1">
      <x:c r="A22" s="18" t="s">
        <x:v>98</x:v>
      </x:c>
      <x:c r="B22" s="16" t="s">
        <x:v>99</x:v>
      </x:c>
      <x:c r="C22" s="19" t="n">
        <x:f aca="0">COUNTIFS('Test Scripts'!$C$3:$C$60,A22,'Test Scripts'!$A$3:$A$60,"&lt;&gt;")</x:f>
        <x:v>1</x:v>
      </x:c>
      <x:c r="D22" s="19" t="str">
        <x:f aca="0">IF(C22&gt;0,"Y","N (GAP)")</x:f>
        <x:v>Y</x:v>
      </x:c>
    </x:row>
    <x:row r="23" ht="15" hidden="0" customHeight="1">
      <x:c r="A23" s="18" t="s">
        <x:v>152</x:v>
      </x:c>
      <x:c r="B23" s="16" t="s">
        <x:v>153</x:v>
      </x:c>
      <x:c r="C23" s="19" t="n">
        <x:f aca="0">COUNTIFS('Test Scripts'!$C$3:$C$60,A23,'Test Scripts'!$A$3:$A$60,"&lt;&gt;")</x:f>
        <x:v>1</x:v>
      </x:c>
      <x:c r="D23" s="19" t="str">
        <x:f aca="0">IF(C23&gt;0,"Y","N (GAP)")</x:f>
        <x:v>Y</x:v>
      </x:c>
    </x:row>
    <x:row r="24" ht="15" hidden="0" customHeight="1">
      <x:c r="A24" s="18" t="s">
        <x:v>157</x:v>
      </x:c>
      <x:c r="B24" s="16" t="s">
        <x:v>158</x:v>
      </x:c>
      <x:c r="C24" s="19" t="n">
        <x:f aca="0">COUNTIFS('Test Scripts'!$C$3:$C$60,A24,'Test Scripts'!$A$3:$A$60,"&lt;&gt;")</x:f>
        <x:v>1</x:v>
      </x:c>
      <x:c r="D24" s="19" t="str">
        <x:f aca="0">IF(C24&gt;0,"Y","N (GAP)")</x:f>
        <x:v>Y</x:v>
      </x:c>
    </x:row>
    <x:row r="25" ht="15" hidden="0" customHeight="1">
      <x:c r="A25" s="18" t="s">
        <x:v>162</x:v>
      </x:c>
      <x:c r="B25" s="16" t="s">
        <x:v>163</x:v>
      </x:c>
      <x:c r="C25" s="19" t="n">
        <x:f aca="0">COUNTIFS('Test Scripts'!$C$3:$C$60,A25,'Test Scripts'!$A$3:$A$60,"&lt;&gt;")</x:f>
        <x:v>1</x:v>
      </x:c>
      <x:c r="D25" s="19" t="str">
        <x:f aca="0">IF(C25&gt;0,"Y","N (GAP)")</x:f>
        <x:v>Y</x:v>
      </x:c>
    </x:row>
    <x:row r="26" ht="15" hidden="0" customHeight="1">
      <x:c r="A26" s="18" t="s">
        <x:v>167</x:v>
      </x:c>
      <x:c r="B26" s="16" t="s">
        <x:v>168</x:v>
      </x:c>
      <x:c r="C26" s="19" t="n">
        <x:f aca="0">COUNTIFS('Test Scripts'!$C$3:$C$60,A26,'Test Scripts'!$A$3:$A$60,"&lt;&gt;")</x:f>
        <x:v>1</x:v>
      </x:c>
      <x:c r="D26" s="19" t="str">
        <x:f aca="0">IF(C26&gt;0,"Y","N (GAP)")</x:f>
        <x:v>Y</x:v>
      </x:c>
    </x:row>
    <x:row r="27" ht="15" hidden="0" customHeight="1">
      <x:c r="A27" s="18" t="s">
        <x:v>173</x:v>
      </x:c>
      <x:c r="B27" s="16" t="s">
        <x:v>174</x:v>
      </x:c>
      <x:c r="C27" s="19" t="n">
        <x:f aca="0">COUNTIFS('Test Scripts'!$C$3:$C$60,A27,'Test Scripts'!$A$3:$A$60,"&lt;&gt;")</x:f>
        <x:v>1</x:v>
      </x:c>
      <x:c r="D27" s="19" t="str">
        <x:f aca="0">IF(C27&gt;0,"Y","N (GAP)")</x:f>
        <x:v>Y</x:v>
      </x:c>
    </x:row>
    <x:row r="28" ht="15" hidden="0" customHeight="1">
      <x:c r="A28" s="18" t="s">
        <x:v>178</x:v>
      </x:c>
      <x:c r="B28" s="16" t="s">
        <x:v>179</x:v>
      </x:c>
      <x:c r="C28" s="19" t="n">
        <x:f aca="0">COUNTIFS('Test Scripts'!$C$3:$C$60,A28,'Test Scripts'!$A$3:$A$60,"&lt;&gt;")</x:f>
        <x:v>1</x:v>
      </x:c>
      <x:c r="D28" s="19" t="str">
        <x:f aca="0">IF(C28&gt;0,"Y","N (GAP)")</x:f>
        <x:v>Y</x:v>
      </x:c>
    </x:row>
    <x:row r="29" ht="15" hidden="0" customHeight="1">
      <x:c r="A29" s="18" t="s">
        <x:v>183</x:v>
      </x:c>
      <x:c r="B29" s="16" t="s">
        <x:v>184</x:v>
      </x:c>
      <x:c r="C29" s="19" t="n">
        <x:f aca="0">COUNTIFS('Test Scripts'!$C$3:$C$60,A29,'Test Scripts'!$A$3:$A$60,"&lt;&gt;")</x:f>
        <x:v>1</x:v>
      </x:c>
      <x:c r="D29" s="19" t="str">
        <x:f aca="0">IF(C29&gt;0,"Y","N (GAP)")</x:f>
        <x:v>Y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11" style="1" hidden="0" customWidth="1"/>
    <x:col min="2" max="2" width="12" style="1" hidden="0" customWidth="1"/>
    <x:col min="3" max="3" width="11" style="1" hidden="0" customWidth="1"/>
    <x:col min="4" max="4" width="14" style="1" hidden="0" customWidth="1"/>
    <x:col min="5" max="5" width="48" style="1" hidden="0" customWidth="1"/>
    <x:col min="6" max="6" width="13" style="1" hidden="0" customWidth="1"/>
    <x:col min="7" max="7" width="34" style="1" hidden="0" customWidth="1"/>
  </x:cols>
  <x:sheetData>
    <x:row r="1" ht="30" hidden="0" customHeight="1">
      <x:c r="A1" s="14" t="s">
        <x:v>213</x:v>
      </x:c>
      <x:c r="B1" s="14"/>
      <x:c r="C1" s="14"/>
      <x:c r="D1" s="14"/>
      <x:c r="E1" s="14"/>
      <x:c r="F1" s="14"/>
      <x:c r="G1" s="14"/>
    </x:row>
    <x:row r="2" ht="26.25" hidden="0" customHeight="1">
      <x:c r="A2" s="15" t="s">
        <x:v>63</x:v>
      </x:c>
      <x:c r="B2" s="15" t="s">
        <x:v>214</x:v>
      </x:c>
      <x:c r="C2" s="15" t="s">
        <x:v>60</x:v>
      </x:c>
      <x:c r="D2" s="15" t="s">
        <x:v>215</x:v>
      </x:c>
      <x:c r="E2" s="15" t="s">
        <x:v>216</x:v>
      </x:c>
      <x:c r="F2" s="15" t="s">
        <x:v>217</x:v>
      </x:c>
      <x:c r="G2" s="15" t="s">
        <x:v>218</x:v>
      </x:c>
    </x:row>
    <x:row r="3" ht="15.75" hidden="0" customHeight="1">
      <x:c r="A3" s="20"/>
      <x:c r="B3" s="20"/>
      <x:c r="C3" s="20"/>
      <x:c r="D3" s="20"/>
      <x:c r="E3" s="20"/>
      <x:c r="F3" s="20"/>
      <x:c r="G3" s="20"/>
    </x:row>
    <x:row r="4" ht="15.75" hidden="0" customHeight="1">
      <x:c r="A4" s="20"/>
      <x:c r="B4" s="20"/>
      <x:c r="C4" s="20"/>
      <x:c r="D4" s="20"/>
      <x:c r="E4" s="20"/>
      <x:c r="F4" s="20"/>
      <x:c r="G4" s="20"/>
    </x:row>
    <x:row r="5" ht="15.75" hidden="0" customHeight="1">
      <x:c r="A5" s="20"/>
      <x:c r="B5" s="20"/>
      <x:c r="C5" s="20"/>
      <x:c r="D5" s="20"/>
      <x:c r="E5" s="20"/>
      <x:c r="F5" s="20"/>
      <x:c r="G5" s="20"/>
    </x:row>
    <x:row r="6" ht="15.75" hidden="0" customHeight="1">
      <x:c r="A6" s="20"/>
      <x:c r="B6" s="20"/>
      <x:c r="C6" s="20"/>
      <x:c r="D6" s="20"/>
      <x:c r="E6" s="20"/>
      <x:c r="F6" s="20"/>
      <x:c r="G6" s="20"/>
    </x:row>
    <x:row r="7" ht="15.75" hidden="0" customHeight="1">
      <x:c r="A7" s="20"/>
      <x:c r="B7" s="20"/>
      <x:c r="C7" s="20"/>
      <x:c r="D7" s="20"/>
      <x:c r="E7" s="20"/>
      <x:c r="F7" s="20"/>
      <x:c r="G7" s="20"/>
    </x:row>
    <x:row r="8" ht="15.75" hidden="0" customHeight="1">
      <x:c r="A8" s="20"/>
      <x:c r="B8" s="20"/>
      <x:c r="C8" s="20"/>
      <x:c r="D8" s="20"/>
      <x:c r="E8" s="20"/>
      <x:c r="F8" s="20"/>
      <x:c r="G8" s="20"/>
    </x:row>
    <x:row r="9" ht="15.75" hidden="0" customHeight="1">
      <x:c r="A9" s="20"/>
      <x:c r="B9" s="20"/>
      <x:c r="C9" s="20"/>
      <x:c r="D9" s="20"/>
      <x:c r="E9" s="20"/>
      <x:c r="F9" s="20"/>
      <x:c r="G9" s="20"/>
    </x:row>
    <x:row r="10" ht="15.75" hidden="0" customHeight="1">
      <x:c r="A10" s="20"/>
      <x:c r="B10" s="20"/>
      <x:c r="C10" s="20"/>
      <x:c r="D10" s="20"/>
      <x:c r="E10" s="20"/>
      <x:c r="F10" s="20"/>
      <x:c r="G10" s="20"/>
    </x:row>
    <x:row r="11" ht="15.75" hidden="0" customHeight="1">
      <x:c r="A11" s="20"/>
      <x:c r="B11" s="20"/>
      <x:c r="C11" s="20"/>
      <x:c r="D11" s="20"/>
      <x:c r="E11" s="20"/>
      <x:c r="F11" s="20"/>
      <x:c r="G11" s="20"/>
    </x:row>
    <x:row r="12" ht="15.75" hidden="0" customHeight="1">
      <x:c r="A12" s="20"/>
      <x:c r="B12" s="20"/>
      <x:c r="C12" s="20"/>
      <x:c r="D12" s="20"/>
      <x:c r="E12" s="20"/>
      <x:c r="F12" s="20"/>
      <x:c r="G12" s="20"/>
    </x:row>
    <x:row r="13" ht="15.75" hidden="0" customHeight="1">
      <x:c r="A13" s="20"/>
      <x:c r="B13" s="20"/>
      <x:c r="C13" s="20"/>
      <x:c r="D13" s="20"/>
      <x:c r="E13" s="20"/>
      <x:c r="F13" s="20"/>
      <x:c r="G13" s="20"/>
    </x:row>
    <x:row r="14" ht="15.75" hidden="0" customHeight="1">
      <x:c r="A14" s="20"/>
      <x:c r="B14" s="20"/>
      <x:c r="C14" s="20"/>
      <x:c r="D14" s="20"/>
      <x:c r="E14" s="20"/>
      <x:c r="F14" s="20"/>
      <x:c r="G14" s="20"/>
    </x:row>
    <x:row r="15" ht="15.75" hidden="0" customHeight="1">
      <x:c r="A15" s="20"/>
      <x:c r="B15" s="20"/>
      <x:c r="C15" s="20"/>
      <x:c r="D15" s="20"/>
      <x:c r="E15" s="20"/>
      <x:c r="F15" s="20"/>
      <x:c r="G15" s="20"/>
    </x:row>
    <x:row r="16" ht="15.75" hidden="0" customHeight="1">
      <x:c r="A16" s="20"/>
      <x:c r="B16" s="20"/>
      <x:c r="C16" s="20"/>
      <x:c r="D16" s="20"/>
      <x:c r="E16" s="20"/>
      <x:c r="F16" s="20"/>
      <x:c r="G16" s="20"/>
    </x:row>
    <x:row r="17" ht="15.75" hidden="0" customHeight="1">
      <x:c r="A17" s="20"/>
      <x:c r="B17" s="20"/>
      <x:c r="C17" s="20"/>
      <x:c r="D17" s="20"/>
      <x:c r="E17" s="20"/>
      <x:c r="F17" s="20"/>
      <x:c r="G17" s="20"/>
    </x:row>
    <x:row r="18" ht="15.75" hidden="0" customHeight="1">
      <x:c r="A18" s="20"/>
      <x:c r="B18" s="20"/>
      <x:c r="C18" s="20"/>
      <x:c r="D18" s="20"/>
      <x:c r="E18" s="20"/>
      <x:c r="F18" s="20"/>
      <x:c r="G18" s="20"/>
    </x:row>
    <x:row r="19" ht="15.75" hidden="0" customHeight="1">
      <x:c r="A19" s="20"/>
      <x:c r="B19" s="20"/>
      <x:c r="C19" s="20"/>
      <x:c r="D19" s="20"/>
      <x:c r="E19" s="20"/>
      <x:c r="F19" s="20"/>
      <x:c r="G19" s="20"/>
    </x:row>
    <x:row r="20" ht="15.75" hidden="0" customHeight="1">
      <x:c r="A20" s="20"/>
      <x:c r="B20" s="20"/>
      <x:c r="C20" s="20"/>
      <x:c r="D20" s="20"/>
      <x:c r="E20" s="20"/>
      <x:c r="F20" s="20"/>
      <x:c r="G20" s="20"/>
    </x:row>
    <x:row r="21" ht="15.75" hidden="0" customHeight="1">
      <x:c r="A21" s="20"/>
      <x:c r="B21" s="20"/>
      <x:c r="C21" s="20"/>
      <x:c r="D21" s="20"/>
      <x:c r="E21" s="20"/>
      <x:c r="F21" s="20"/>
      <x:c r="G21" s="20"/>
    </x:row>
    <x:row r="22" ht="15.75" hidden="0" customHeight="1">
      <x:c r="A22" s="20"/>
      <x:c r="B22" s="20"/>
      <x:c r="C22" s="20"/>
      <x:c r="D22" s="20"/>
      <x:c r="E22" s="20"/>
      <x:c r="F22" s="20"/>
      <x:c r="G22" s="20"/>
    </x:row>
    <x:row r="23" ht="15.75" hidden="0" customHeight="1">
      <x:c r="A23" s="20"/>
      <x:c r="B23" s="20"/>
      <x:c r="C23" s="20"/>
      <x:c r="D23" s="20"/>
      <x:c r="E23" s="20"/>
      <x:c r="F23" s="20"/>
      <x:c r="G23" s="20"/>
    </x:row>
    <x:row r="24" ht="15.75" hidden="0" customHeight="1">
      <x:c r="A24" s="20"/>
      <x:c r="B24" s="20"/>
      <x:c r="C24" s="20"/>
      <x:c r="D24" s="20"/>
      <x:c r="E24" s="20"/>
      <x:c r="F24" s="20"/>
      <x:c r="G24" s="20"/>
    </x:row>
    <x:row r="25" ht="15.75" hidden="0" customHeight="1">
      <x:c r="A25" s="20"/>
      <x:c r="B25" s="20"/>
      <x:c r="C25" s="20"/>
      <x:c r="D25" s="20"/>
      <x:c r="E25" s="20"/>
      <x:c r="F25" s="20"/>
      <x:c r="G25" s="20"/>
    </x:row>
    <x:row r="26" ht="15.75" hidden="0" customHeight="1">
      <x:c r="A26" s="20"/>
      <x:c r="B26" s="20"/>
      <x:c r="C26" s="20"/>
      <x:c r="D26" s="20"/>
      <x:c r="E26" s="20"/>
      <x:c r="F26" s="20"/>
      <x:c r="G26" s="20"/>
    </x:row>
    <x:row r="27" ht="15.75" hidden="0" customHeight="1">
      <x:c r="A27" s="20"/>
      <x:c r="B27" s="20"/>
      <x:c r="C27" s="20"/>
      <x:c r="D27" s="20"/>
      <x:c r="E27" s="20"/>
      <x:c r="F27" s="20"/>
      <x:c r="G27" s="20"/>
    </x:row>
    <x:row r="28" ht="15.75" hidden="0" customHeight="1">
      <x:c r="A28" s="20"/>
      <x:c r="B28" s="20"/>
      <x:c r="C28" s="20"/>
      <x:c r="D28" s="20"/>
      <x:c r="E28" s="20"/>
      <x:c r="F28" s="20"/>
      <x:c r="G28" s="20"/>
    </x:row>
    <x:row r="29" ht="15.75" hidden="0" customHeight="1">
      <x:c r="A29" s="20"/>
      <x:c r="B29" s="20"/>
      <x:c r="C29" s="20"/>
      <x:c r="D29" s="20"/>
      <x:c r="E29" s="20"/>
      <x:c r="F29" s="20"/>
      <x:c r="G29" s="20"/>
    </x:row>
    <x:row r="30" ht="15.75" hidden="0" customHeight="1">
      <x:c r="A30" s="20"/>
      <x:c r="B30" s="20"/>
      <x:c r="C30" s="20"/>
      <x:c r="D30" s="20"/>
      <x:c r="E30" s="20"/>
      <x:c r="F30" s="20"/>
      <x:c r="G30" s="20"/>
    </x:row>
    <x:row r="31" ht="15.75" hidden="0" customHeight="1">
      <x:c r="A31" s="20"/>
      <x:c r="B31" s="20"/>
      <x:c r="C31" s="20"/>
      <x:c r="D31" s="20"/>
      <x:c r="E31" s="20"/>
      <x:c r="F31" s="20"/>
      <x:c r="G31" s="20"/>
    </x:row>
    <x:row r="32" ht="15.75" hidden="0" customHeight="1">
      <x:c r="A32" s="20"/>
      <x:c r="B32" s="20"/>
      <x:c r="C32" s="20"/>
      <x:c r="D32" s="20"/>
      <x:c r="E32" s="20"/>
      <x:c r="F32" s="20"/>
      <x:c r="G32" s="20"/>
    </x:row>
    <x:row r="33" ht="15.75" hidden="0" customHeight="1">
      <x:c r="A33" s="20"/>
      <x:c r="B33" s="20"/>
      <x:c r="C33" s="20"/>
      <x:c r="D33" s="20"/>
      <x:c r="E33" s="20"/>
      <x:c r="F33" s="20"/>
      <x:c r="G33" s="20"/>
    </x:row>
    <x:row r="34" ht="15.75" hidden="0" customHeight="1">
      <x:c r="A34" s="20"/>
      <x:c r="B34" s="20"/>
      <x:c r="C34" s="20"/>
      <x:c r="D34" s="20"/>
      <x:c r="E34" s="20"/>
      <x:c r="F34" s="20"/>
      <x:c r="G34" s="20"/>
    </x:row>
    <x:row r="35" ht="15.75" hidden="0" customHeight="1">
      <x:c r="A35" s="20"/>
      <x:c r="B35" s="20"/>
      <x:c r="C35" s="20"/>
      <x:c r="D35" s="20"/>
      <x:c r="E35" s="20"/>
      <x:c r="F35" s="20"/>
      <x:c r="G35" s="20"/>
    </x:row>
    <x:row r="36" ht="15.75" hidden="0" customHeight="1">
      <x:c r="A36" s="20"/>
      <x:c r="B36" s="20"/>
      <x:c r="C36" s="20"/>
      <x:c r="D36" s="20"/>
      <x:c r="E36" s="20"/>
      <x:c r="F36" s="20"/>
      <x:c r="G36" s="20"/>
    </x:row>
    <x:row r="37" ht="15.75" hidden="0" customHeight="1">
      <x:c r="A37" s="20"/>
      <x:c r="B37" s="20"/>
      <x:c r="C37" s="20"/>
      <x:c r="D37" s="20"/>
      <x:c r="E37" s="20"/>
      <x:c r="F37" s="20"/>
      <x:c r="G37" s="20"/>
    </x:row>
    <x:row r="38" ht="15.75" hidden="0" customHeight="1">
      <x:c r="A38" s="20"/>
      <x:c r="B38" s="20"/>
      <x:c r="C38" s="20"/>
      <x:c r="D38" s="20"/>
      <x:c r="E38" s="20"/>
      <x:c r="F38" s="20"/>
      <x:c r="G38" s="20"/>
    </x:row>
    <x:row r="39" ht="15.75" hidden="0" customHeight="1">
      <x:c r="A39" s="20"/>
      <x:c r="B39" s="20"/>
      <x:c r="C39" s="20"/>
      <x:c r="D39" s="20"/>
      <x:c r="E39" s="20"/>
      <x:c r="F39" s="20"/>
      <x:c r="G39" s="20"/>
    </x:row>
    <x:row r="40" ht="15.75" hidden="0" customHeight="1">
      <x:c r="A40" s="20"/>
      <x:c r="B40" s="20"/>
      <x:c r="C40" s="20"/>
      <x:c r="D40" s="20"/>
      <x:c r="E40" s="20"/>
      <x:c r="F40" s="20"/>
      <x:c r="G40" s="20"/>
    </x:row>
    <x:row r="41" ht="15.75" hidden="0" customHeight="1">
      <x:c r="A41" s="20"/>
      <x:c r="B41" s="20"/>
      <x:c r="C41" s="20"/>
      <x:c r="D41" s="20"/>
      <x:c r="E41" s="20"/>
      <x:c r="F41" s="20"/>
      <x:c r="G41" s="20"/>
    </x:row>
    <x:row r="42" ht="15.75" hidden="0" customHeight="1">
      <x:c r="A42" s="20"/>
      <x:c r="B42" s="20"/>
      <x:c r="C42" s="20"/>
      <x:c r="D42" s="20"/>
      <x:c r="E42" s="20"/>
      <x:c r="F42" s="20"/>
      <x:c r="G42" s="20"/>
    </x:row>
    <x:row r="43" ht="15.75" hidden="0" customHeight="1">
      <x:c r="A43" s="20"/>
      <x:c r="B43" s="20"/>
      <x:c r="C43" s="20"/>
      <x:c r="D43" s="20"/>
      <x:c r="E43" s="20"/>
      <x:c r="F43" s="20"/>
      <x:c r="G43" s="20"/>
    </x:row>
    <x:row r="44" ht="15.75" hidden="0" customHeight="1">
      <x:c r="A44" s="20"/>
      <x:c r="B44" s="20"/>
      <x:c r="C44" s="20"/>
      <x:c r="D44" s="20"/>
      <x:c r="E44" s="20"/>
      <x:c r="F44" s="20"/>
      <x:c r="G44" s="20"/>
    </x:row>
    <x:row r="45" ht="15.75" hidden="0" customHeight="1">
      <x:c r="A45" s="20"/>
      <x:c r="B45" s="20"/>
      <x:c r="C45" s="20"/>
      <x:c r="D45" s="20"/>
      <x:c r="E45" s="20"/>
      <x:c r="F45" s="20"/>
      <x:c r="G45" s="20"/>
    </x:row>
    <x:row r="46" ht="15.75" hidden="0" customHeight="1">
      <x:c r="A46" s="20"/>
      <x:c r="B46" s="20"/>
      <x:c r="C46" s="20"/>
      <x:c r="D46" s="20"/>
      <x:c r="E46" s="20"/>
      <x:c r="F46" s="20"/>
      <x:c r="G46" s="20"/>
    </x:row>
    <x:row r="47" ht="15.75" hidden="0" customHeight="1">
      <x:c r="A47" s="20"/>
      <x:c r="B47" s="20"/>
      <x:c r="C47" s="20"/>
      <x:c r="D47" s="20"/>
      <x:c r="E47" s="20"/>
      <x:c r="F47" s="20"/>
      <x:c r="G47" s="20"/>
    </x:row>
    <x:row r="48" ht="15.75" hidden="0" customHeight="1">
      <x:c r="A48" s="20"/>
      <x:c r="B48" s="20"/>
      <x:c r="C48" s="20"/>
      <x:c r="D48" s="20"/>
      <x:c r="E48" s="20"/>
      <x:c r="F48" s="20"/>
      <x:c r="G48" s="20"/>
    </x:row>
    <x:row r="49" ht="15.75" hidden="0" customHeight="1">
      <x:c r="A49" s="20"/>
      <x:c r="B49" s="20"/>
      <x:c r="C49" s="20"/>
      <x:c r="D49" s="20"/>
      <x:c r="E49" s="20"/>
      <x:c r="F49" s="20"/>
      <x:c r="G49" s="20"/>
    </x:row>
    <x:row r="50" ht="15.75" hidden="0" customHeight="1">
      <x:c r="A50" s="20"/>
      <x:c r="B50" s="20"/>
      <x:c r="C50" s="20"/>
      <x:c r="D50" s="20"/>
      <x:c r="E50" s="20"/>
      <x:c r="F50" s="20"/>
      <x:c r="G50" s="20"/>
    </x:row>
    <x:row r="51" ht="15.75" hidden="0" customHeight="1">
      <x:c r="A51" s="20"/>
      <x:c r="B51" s="20"/>
      <x:c r="C51" s="20"/>
      <x:c r="D51" s="20"/>
      <x:c r="E51" s="20"/>
      <x:c r="F51" s="20"/>
      <x:c r="G51" s="20"/>
    </x:row>
    <x:row r="52" ht="15.75" hidden="0" customHeight="1">
      <x:c r="A52" s="20"/>
      <x:c r="B52" s="20"/>
      <x:c r="C52" s="20"/>
      <x:c r="D52" s="20"/>
      <x:c r="E52" s="20"/>
      <x:c r="F52" s="20"/>
      <x:c r="G52" s="20"/>
    </x:row>
    <x:row r="53" ht="15.75" hidden="0" customHeight="1">
      <x:c r="A53" s="20"/>
      <x:c r="B53" s="20"/>
      <x:c r="C53" s="20"/>
      <x:c r="D53" s="20"/>
      <x:c r="E53" s="20"/>
      <x:c r="F53" s="20"/>
      <x:c r="G53" s="20"/>
    </x:row>
    <x:row r="54" ht="15.75" hidden="0" customHeight="1">
      <x:c r="A54" s="20"/>
      <x:c r="B54" s="20"/>
      <x:c r="C54" s="20"/>
      <x:c r="D54" s="20"/>
      <x:c r="E54" s="20"/>
      <x:c r="F54" s="20"/>
      <x:c r="G54" s="20"/>
    </x:row>
    <x:row r="55" ht="15.75" hidden="0" customHeight="1">
      <x:c r="A55" s="20"/>
      <x:c r="B55" s="20"/>
      <x:c r="C55" s="20"/>
      <x:c r="D55" s="20"/>
      <x:c r="E55" s="20"/>
      <x:c r="F55" s="20"/>
      <x:c r="G55" s="20"/>
    </x:row>
    <x:row r="56" ht="15.75" hidden="0" customHeight="1">
      <x:c r="A56" s="20"/>
      <x:c r="B56" s="20"/>
      <x:c r="C56" s="20"/>
      <x:c r="D56" s="20"/>
      <x:c r="E56" s="20"/>
      <x:c r="F56" s="20"/>
      <x:c r="G56" s="20"/>
    </x:row>
    <x:row r="57" ht="15.75" hidden="0" customHeight="1">
      <x:c r="A57" s="20"/>
      <x:c r="B57" s="20"/>
      <x:c r="C57" s="20"/>
      <x:c r="D57" s="20"/>
      <x:c r="E57" s="20"/>
      <x:c r="F57" s="20"/>
      <x:c r="G57" s="20"/>
    </x:row>
    <x:row r="58" ht="15.75" hidden="0" customHeight="1">
      <x:c r="A58" s="20"/>
      <x:c r="B58" s="20"/>
      <x:c r="C58" s="20"/>
      <x:c r="D58" s="20"/>
      <x:c r="E58" s="20"/>
      <x:c r="F58" s="20"/>
      <x:c r="G58" s="20"/>
    </x:row>
    <x:row r="59" ht="15.75" hidden="0" customHeight="1">
      <x:c r="A59" s="20"/>
      <x:c r="B59" s="20"/>
      <x:c r="C59" s="20"/>
      <x:c r="D59" s="20"/>
      <x:c r="E59" s="20"/>
      <x:c r="F59" s="20"/>
      <x:c r="G59" s="20"/>
    </x:row>
    <x:row r="60" ht="15.75" hidden="0" customHeight="1">
      <x:c r="A60" s="20"/>
      <x:c r="B60" s="20"/>
      <x:c r="C60" s="20"/>
      <x:c r="D60" s="20"/>
      <x:c r="E60" s="20"/>
      <x:c r="F60" s="20"/>
      <x:c r="G60" s="20"/>
    </x:row>
  </x:sheetData>
  <x:mergeCells>
    <x:mergeCell ref="A1:G1"/>
  </x:mergeCells>
  <x:dataValidations count="2">
    <x:dataValidation type="list" errorStyle="stop" operator="between" allowBlank="1" showDropDown="0" showInputMessage="0" showErrorMessage="0" sqref="B3:B60">
      <x:formula1>"Critical,Major,Minor"</x:formula1>
      <x:formula2>0</x:formula2>
    </x:dataValidation>
    <x:dataValidation type="list" errorStyle="stop" operator="between" allowBlank="1" showDropDown="0" showInputMessage="0" showErrorMessage="0" sqref="C3:C60">
      <x:formula1>"Open,Fixed,Retest,Closed"</x:formula1>
      <x:formula2>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3864"/>
  </x:sheetPr>
  <x:sheetViews>
    <x:sheetView showGridLines="0" workbookViewId="0"/>
  </x:sheetViews>
  <x:sheetFormatPr defaultColWidth="8.6796875" defaultRowHeight="15"/>
  <x:cols>
    <x:col min="1" max="1" width="42" style="1" hidden="0" customWidth="1"/>
    <x:col min="2" max="2" width="40" style="1" hidden="0" customWidth="1"/>
  </x:cols>
  <x:sheetData>
    <x:row r="1" ht="30" hidden="0" customHeight="1">
      <x:c r="A1" s="14" t="str">
        <x:v>Execution Summary — Evaluation Checks</x:v>
      </x:c>
      <x:c r="B1" s="14"/>
      <x:c r="C1" s="14"/>
      <x:c r="D1" s="14"/>
    </x:row>
    <x:row r="3" ht="15" hidden="0" customHeight="1">
      <x:c r="A3" s="21" t="s">
        <x:v>219</x:v>
      </x:c>
    </x:row>
    <x:row r="4" ht="15" hidden="0" customHeight="1">
      <x:c r="A4" s="18" t="s">
        <x:v>220</x:v>
      </x:c>
      <x:c r="B4" s="19" t="n">
        <x:f aca="0">COUNTA('Test Scripts'!A3:A60)</x:f>
        <x:v>27</x:v>
      </x:c>
    </x:row>
    <x:row r="5" ht="15" hidden="0" customHeight="1">
      <x:c r="A5" s="18" t="s">
        <x:v>221</x:v>
      </x:c>
      <x:c r="B5" s="19" t="n">
        <x:f aca="0">COUNTIFS('Test Scripts'!$A$3:$A$60,"&lt;&gt;",'Test Scripts'!$I$3:$I$60,"Pass")</x:f>
        <x:v>0</x:v>
      </x:c>
    </x:row>
    <x:row r="6" ht="15" hidden="0" customHeight="1">
      <x:c r="A6" s="18" t="s">
        <x:v>222</x:v>
      </x:c>
      <x:c r="B6" s="19" t="n">
        <x:f aca="0">COUNTIFS('Test Scripts'!$A$3:$A$60,"&lt;&gt;",'Test Scripts'!$I$3:$I$60,"Fail")</x:f>
        <x:v>0</x:v>
      </x:c>
    </x:row>
    <x:row r="7" ht="15" hidden="0" customHeight="1">
      <x:c r="A7" s="18" t="s">
        <x:v>223</x:v>
      </x:c>
      <x:c r="B7" s="19" t="n">
        <x:f aca="0">COUNTIFS('Test Scripts'!$A$3:$A$60,"&lt;&gt;",'Test Scripts'!$I$3:$I$60,"Blocked")</x:f>
        <x:v>0</x:v>
      </x:c>
    </x:row>
    <x:row r="8" ht="15" hidden="0" customHeight="1">
      <x:c r="A8" s="18" t="s">
        <x:v>224</x:v>
      </x:c>
      <x:c r="B8" s="19" t="n">
        <x:f aca="0">COUNTIFS('Test Scripts'!$A$3:$A$60,"&lt;&gt;",'Test Scripts'!$I$3:$I$60,"In Progress")</x:f>
        <x:v>0</x:v>
      </x:c>
    </x:row>
    <x:row r="9" ht="15" hidden="0" customHeight="1">
      <x:c r="A9" s="18" t="s">
        <x:v>225</x:v>
      </x:c>
      <x:c r="B9" s="19" t="n">
        <x:f aca="0">B4-B5-B6-B7-B8</x:f>
        <x:v>27</x:v>
      </x:c>
    </x:row>
    <x:row r="10" ht="15" hidden="0" customHeight="1">
      <x:c r="A10" s="18" t="s">
        <x:v>226</x:v>
      </x:c>
      <x:c r="B10" s="22" t="n">
        <x:f aca="0">IF((B5+B6)=0,0,B5/(B5+B6))</x:f>
        <x:v>0</x:v>
      </x:c>
    </x:row>
    <x:row r="12" ht="15" hidden="0" customHeight="1">
      <x:c r="A12" s="21" t="str">
        <x:v>Automated review checks</x:v>
      </x:c>
    </x:row>
    <x:row r="13" ht="15" hidden="0" customHeight="1">
      <x:c r="A13" s="18" t="s">
        <x:v>227</x:v>
      </x:c>
      <x:c r="B13" s="19" t="n">
        <x:f aca="0">COUNTIF('Test Scripts'!D3:D60,"Critical")-COUNTIFS('Test Scripts'!D3:D60,"Critical",'Test Scripts'!I3:I60,"Pass")</x:f>
        <x:v>9</x:v>
      </x:c>
    </x:row>
    <x:row r="14" ht="15" hidden="0" customHeight="1">
      <x:c r="A14" s="18" t="str">
        <x:v>Critical/Major defects not closed</x:v>
      </x:c>
      <x:c r="B14" s="19" t="n">
        <x:f aca="0">COUNTIFS('Defect Log'!$B$3:$B$60,"Critical",'Defect Log'!$C$3:$C$60,"&lt;&gt;Closed")+COUNTIFS('Defect Log'!$B$3:$B$60,"Major",'Defect Log'!$C$3:$C$60,"&lt;&gt;Closed")</x:f>
        <x:v>0</x:v>
      </x:c>
    </x:row>
    <x:row r="15" ht="15" hidden="0" customHeight="1">
      <x:c r="A15" s="18" t="s">
        <x:v>228</x:v>
      </x:c>
      <x:c r="B15" s="19" t="n">
        <x:f aca="0">COUNTIF(Traceability!$D$3:$D$29,"N (GAP)")</x:f>
        <x:v>0</x:v>
      </x:c>
    </x:row>
    <x:row r="16" ht="34" hidden="0" customHeight="1">
      <x:c r="A16" s="23" t="str">
        <x:v>AUTOMATED CHECKS</x:v>
      </x:c>
      <x:c r="B16" s="27" t="str">
        <x:f aca="0">IF(AND(B4&gt;0,B13=0,B14=0,B15=0,B7=0,B8=0,B9=0,COUNTIF('Test Scripts'!$I$3:$I$60,"&lt;&gt;")=SUM(B5:B8)),"Automated checks clear; manual review required","Automated checks blocked")</x:f>
        <x:v>Automated checks blocked</x:v>
      </x:c>
    </x:row>
    <x:row r="18" ht="15" hidden="0" customHeight="1">
      <x:c r="A18" s="21" t="str">
        <x:v>Review signatures (after manual checks)</x:v>
      </x:c>
    </x:row>
    <x:row r="19" ht="15" hidden="0" customHeight="1">
      <x:c r="A19" s="18" t="s">
        <x:v>229</x:v>
      </x:c>
      <x:c r="B19" s="25"/>
    </x:row>
    <x:row r="20" ht="15" hidden="0" customHeight="1">
      <x:c r="A20" s="18" t="s">
        <x:v>230</x:v>
      </x:c>
      <x:c r="B20" s="25"/>
    </x:row>
    <x:row r="21" ht="15" hidden="0" customHeight="1">
      <x:c r="A21" s="18" t="s">
        <x:v>231</x:v>
      </x:c>
      <x:c r="B21" s="25"/>
    </x:row>
    <x:row r="22" ht="15" hidden="0" customHeight="1">
      <x:c r="A22" s="18" t="s">
        <x:v>232</x:v>
      </x:c>
      <x:c r="B22" s="25"/>
    </x:row>
    <x:row r="24" ht="50" hidden="0" customHeight="1">
      <x:c r="A24" s="28" t="str">
        <x:v>Review retest evidence, failed-test/defect links, coverage and signatures separately. Automated checks do not authorize go-live.</x:v>
      </x:c>
    </x:row>
  </x:sheetData>
  <x:mergeCells>
    <x:mergeCell ref="A1:D1"/>
  </x:mergeCells>
  <x:pageMargins left="0.7" right="0.7" top="0.75" bottom="0.75" header="0.3" footer="0.3"/>
</x:worksheet>
</file>